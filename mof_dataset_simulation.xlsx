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nbe\Greenbootcamps\Projects\Carbon&amp;MOF\Paper 1\"/>
    </mc:Choice>
  </mc:AlternateContent>
  <xr:revisionPtr revIDLastSave="0" documentId="13_ncr:1_{79FEAC14-A430-47EF-B457-7D6913BF906E}" xr6:coauthVersionLast="47" xr6:coauthVersionMax="47" xr10:uidLastSave="{00000000-0000-0000-0000-000000000000}"/>
  <bookViews>
    <workbookView xWindow="1920" yWindow="1920" windowWidth="14700" windowHeight="9888" xr2:uid="{1A610C8F-98B5-4616-8F56-C9C5C506D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1" l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<sst xmlns="http://schemas.openxmlformats.org/spreadsheetml/2006/main" count="217" uniqueCount="115">
  <si>
    <t>qmof_id</t>
  </si>
  <si>
    <t>pore dimensionality</t>
  </si>
  <si>
    <t>PLD (nm)</t>
  </si>
  <si>
    <t>LCD (nm)</t>
  </si>
  <si>
    <t>SSA (m^2/g)</t>
  </si>
  <si>
    <t>I (e/μs/Da)</t>
  </si>
  <si>
    <t>qmof-1a2e603</t>
  </si>
  <si>
    <t>boydwoo_str_m1_o26_o26_pcu_sym_117</t>
  </si>
  <si>
    <t>qmof-5674ed3</t>
  </si>
  <si>
    <t>boydwoo_str_m3_o7_o27_pcu_sym_8</t>
  </si>
  <si>
    <t>qmof-3cc0d7f</t>
  </si>
  <si>
    <t>boydwoo_str_m1_o25_o25_pcu_sym_58</t>
  </si>
  <si>
    <t>qmof-956de34</t>
  </si>
  <si>
    <t>MOF-5_cooh_2_2349_1</t>
  </si>
  <si>
    <t>qmof-97b17d1</t>
  </si>
  <si>
    <t>MOF-5_cooh_2_1239_1</t>
  </si>
  <si>
    <t>qmof-2d0ea93</t>
  </si>
  <si>
    <t>boydwoo_str_m1_o26_o26_pcu_sym_192</t>
  </si>
  <si>
    <t>qmof-ebf0dd7</t>
  </si>
  <si>
    <t>boydwoo_str_m3_o3_o8_pcu_sym_80</t>
  </si>
  <si>
    <t>qmof-1ee7828</t>
  </si>
  <si>
    <t>boydwoo_str_m3_o3_o27_pcu_sym_25</t>
  </si>
  <si>
    <t>qmof-e5ab8d0</t>
  </si>
  <si>
    <t>boydwoo_str_m3_o7_o17_nbo_sym_155</t>
  </si>
  <si>
    <t>qmof-8304c2c</t>
  </si>
  <si>
    <t>boydwoo_str_m1_o7_o19_pcu_sym_47</t>
  </si>
  <si>
    <t>qmof-7e58962</t>
  </si>
  <si>
    <t>boydwoo_str_m3_o3_o25_pcu_sym_111</t>
  </si>
  <si>
    <t>qmof-03f51c0</t>
  </si>
  <si>
    <t>tobacco_srsb_sym_3_mc_0_sym_3_on_2_L_13</t>
  </si>
  <si>
    <t>qmof-aa022aa</t>
  </si>
  <si>
    <t>tobacco_srsb_sym_3_on_1_sym_3_mc_0_L_6</t>
  </si>
  <si>
    <t>qmof-9a04c15</t>
  </si>
  <si>
    <t>tobacco_srsb_sym_3_on_2_sym_3_mc_0_L_6</t>
  </si>
  <si>
    <t>qmof-adf0b90</t>
  </si>
  <si>
    <t>tobacco_bor_sym_3_mc_0_sym_4_on_8_L_6</t>
  </si>
  <si>
    <t>qmof-0cced71</t>
  </si>
  <si>
    <t>boydwoo_str_m3_o3_o28_pcu_sym_255</t>
  </si>
  <si>
    <t>qmof-e09c476</t>
  </si>
  <si>
    <t>tobacco_srsb_sym_3_on_2_sym_3_mc_0_L_1</t>
  </si>
  <si>
    <t>qmof-9cd754e</t>
  </si>
  <si>
    <t>boydwoo_str_m3_o8_o25_pcu_sym_188</t>
  </si>
  <si>
    <t>qmof-79d5925</t>
  </si>
  <si>
    <t>MOF-5_cooh_2_2368_1</t>
  </si>
  <si>
    <t>qmof-eb5e701</t>
  </si>
  <si>
    <t>tobacco_srsb_sym_3_on_1_sym_3_mc_0_L_12</t>
  </si>
  <si>
    <t>qmof-14d6317</t>
  </si>
  <si>
    <t>boydwoo_str_m3_o7_o28_pcu_sym_133</t>
  </si>
  <si>
    <t>qmof-08e81c7</t>
  </si>
  <si>
    <t>boydwoo_str_m3_o1_o29_nbo_sym_1</t>
  </si>
  <si>
    <t>qmof-97ee5b6</t>
  </si>
  <si>
    <t>tobacco_srsb_sym_3_on_1_sym_3_mc_0_L_3</t>
  </si>
  <si>
    <t>qmof-919c532</t>
  </si>
  <si>
    <t>MOF-5_cooh_2_1505_1</t>
  </si>
  <si>
    <t>qmof-327888f</t>
  </si>
  <si>
    <t>gmof_Zn2O8N2-DPAC_A-irmof10_A_No127</t>
  </si>
  <si>
    <t>qmof-fe8a0d3</t>
  </si>
  <si>
    <t>tobacco_bor_sym_3_mc_0_sym_4_on_6_L_14</t>
  </si>
  <si>
    <t>qmof-f756730</t>
  </si>
  <si>
    <t>tobacco_bor_sym_3_mc_0_sym_4_on_6_L_15</t>
  </si>
  <si>
    <t>qmof-17db927</t>
  </si>
  <si>
    <t>tobacco_bor_sym_3_mc_0_sym_4_on_8_L_2</t>
  </si>
  <si>
    <t>qmof-7aebbbb</t>
  </si>
  <si>
    <t>tobacco_srsb_sym_3_on_2_sym_3_mc_0_L_2</t>
  </si>
  <si>
    <t>qmof-4a41a68</t>
  </si>
  <si>
    <t>tobacco_srsb_sym_3_mc_0_sym_3_on_2_L_2</t>
  </si>
  <si>
    <t>qmof-995cbe7</t>
  </si>
  <si>
    <t>tobacco_srsb_sym_3_mc_0_sym_3_on_0_L_5</t>
  </si>
  <si>
    <t>qmof-1b24ed6</t>
  </si>
  <si>
    <t>tobacco_srsb_sym_3_on_0_sym_3_mc_0_L_5</t>
  </si>
  <si>
    <t>qmof-94e212d</t>
  </si>
  <si>
    <t>gmof_Zn2O8N2-ADC_A-DPAC_A_No320</t>
  </si>
  <si>
    <t>qmof-f23efa9</t>
  </si>
  <si>
    <t>boydwoo_str_m1_o21_o26_pcu_sym_222</t>
  </si>
  <si>
    <t>qmof-d45bd61</t>
  </si>
  <si>
    <t>boydwoo_str_m7_Zn_o6_o20_bcu_sym_108</t>
  </si>
  <si>
    <t>qmof-82f46f8</t>
  </si>
  <si>
    <t>tobacco_bor_sym_3_mc_0_sym_4_on_6_L_19</t>
  </si>
  <si>
    <t>qmof-213c3a1</t>
  </si>
  <si>
    <t>boydwoo_str_m5_Al_o20_o25_sra_sym_138</t>
  </si>
  <si>
    <t>qmof-8ada83c</t>
  </si>
  <si>
    <t>SARTAJ_FSR</t>
  </si>
  <si>
    <t>qmof-85c997c</t>
  </si>
  <si>
    <t>boydwoo_str_m5_Al_o20_o27_sra_sym_39</t>
  </si>
  <si>
    <t>qmof-04b37b6</t>
  </si>
  <si>
    <t>boydwoo_str_m5_Al_o6_o20_sra_sym_28</t>
  </si>
  <si>
    <t>qmof-277f9e3</t>
  </si>
  <si>
    <t>boydwoo_str_m5_Al_o6_o17_sra_sym_20</t>
  </si>
  <si>
    <t>qmof-16f3c20</t>
  </si>
  <si>
    <t>boydwoo_str_m5_Al_o20_o23_sra_sym_101</t>
  </si>
  <si>
    <t>qmof-aa3e438</t>
  </si>
  <si>
    <t>boydwoo_str_m5_Al_o3_o6_sra_sym_33</t>
  </si>
  <si>
    <t>qmof-394c590</t>
  </si>
  <si>
    <t>SARSUC_FSR</t>
  </si>
  <si>
    <t>qmof-6b43a42</t>
  </si>
  <si>
    <t>gmof_Zn2O8N2-irmof14_A-irmof8_A_No153</t>
  </si>
  <si>
    <t>qmof-5c28337</t>
  </si>
  <si>
    <t>boydwoo_str_m5_Al_o11_o20_sra_sym_139</t>
  </si>
  <si>
    <t>qmof-7af11ed</t>
  </si>
  <si>
    <t>boydwoo_str_m5_Al_o11_o20_sra_sym_26</t>
  </si>
  <si>
    <t>qmof-5c01049</t>
  </si>
  <si>
    <t>boydwoo_str_m3_o13_o13_pcu_sym_40</t>
  </si>
  <si>
    <t>qmof-3438d5e</t>
  </si>
  <si>
    <t>boydwoo_str_m5_Al_o7_o20_sra_sym_55</t>
  </si>
  <si>
    <t>qmof-d7e755d</t>
  </si>
  <si>
    <t>boydwoo_str_m5_Al_o6_o25_sra_sym_98</t>
  </si>
  <si>
    <t>Ni-HITP</t>
  </si>
  <si>
    <t>Cg (F/g)</t>
  </si>
  <si>
    <t>Cv (F/cm^3)</t>
  </si>
  <si>
    <t>PW(V)</t>
  </si>
  <si>
    <t>T(K)</t>
  </si>
  <si>
    <t>Not-given</t>
  </si>
  <si>
    <t>Density (g/cm^3)</t>
  </si>
  <si>
    <t>Porosity</t>
  </si>
  <si>
    <t>Electrode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</si>
</sst>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_);[Red]\(0.0\)"/>
    <numFmt numFmtId="166" formatCode="0.000_);[Red]\(0.0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B29C-1981-4256-9001-2867024D3DF4}">
  <dimension ref="A1:M103"/>
  <sheetViews>
    <sheetView tabSelected="1" workbookViewId="0">
      <selection activeCell="L1" sqref="L1"/>
    </sheetView>
  </sheetViews>
  <sheetFormatPr defaultRowHeight="14.4" x14ac:dyDescent="0.3"/>
  <cols>
    <col min="1" max="2" width="8.88671875" style="1"/>
    <col min="3" max="3" width="8.88671875" style="2"/>
    <col min="4" max="5" width="8.88671875" style="3"/>
    <col min="6" max="6" width="8.88671875" style="4"/>
    <col min="7" max="8" width="8.88671875" style="5"/>
    <col min="9" max="10" width="8.88671875" style="4"/>
    <col min="11" max="11" width="8.88671875" style="3"/>
  </cols>
  <sheetData>
    <row r="1" spans="1:13" s="10" customFormat="1" x14ac:dyDescent="0.3">
      <c r="A1" s="6" t="s">
        <v>0</v>
      </c>
      <c r="B1" s="6" t="s">
        <v>114</v>
      </c>
      <c r="C1" s="6" t="s">
        <v>1</v>
      </c>
      <c r="D1" s="7" t="s">
        <v>2</v>
      </c>
      <c r="E1" s="7" t="s">
        <v>3</v>
      </c>
      <c r="F1" s="8" t="s">
        <v>4</v>
      </c>
      <c r="G1" s="9" t="s">
        <v>113</v>
      </c>
      <c r="H1" s="9" t="s">
        <v>112</v>
      </c>
      <c r="I1" s="8" t="s">
        <v>107</v>
      </c>
      <c r="J1" s="8" t="s">
        <v>108</v>
      </c>
      <c r="K1" s="7" t="s">
        <v>5</v>
      </c>
      <c r="L1" s="10" t="s">
        <v>109</v>
      </c>
      <c r="M1" s="10" t="s">
        <v>110</v>
      </c>
    </row>
    <row r="2" spans="1:13" x14ac:dyDescent="0.3">
      <c r="A2" s="1" t="s">
        <v>6</v>
      </c>
      <c r="B2" s="1" t="s">
        <v>7</v>
      </c>
      <c r="C2" s="2">
        <v>3</v>
      </c>
      <c r="D2" s="3">
        <v>1.1912229999999999</v>
      </c>
      <c r="E2" s="3">
        <v>1.8418489999999998</v>
      </c>
      <c r="F2" s="4">
        <v>6078.54</v>
      </c>
      <c r="G2" s="5">
        <v>0.60562000000000005</v>
      </c>
      <c r="H2" s="5">
        <v>0.27480300000000002</v>
      </c>
      <c r="I2" s="4">
        <v>227.42381</v>
      </c>
      <c r="J2" s="4">
        <f t="shared" ref="J2:J51" si="0">I2*H2</f>
        <v>62.496745259430007</v>
      </c>
      <c r="K2" s="3">
        <v>2.7421177499522433</v>
      </c>
      <c r="L2">
        <v>4</v>
      </c>
      <c r="M2">
        <v>400</v>
      </c>
    </row>
    <row r="3" spans="1:13" x14ac:dyDescent="0.3">
      <c r="A3" s="1" t="s">
        <v>8</v>
      </c>
      <c r="B3" s="1" t="s">
        <v>9</v>
      </c>
      <c r="C3" s="2">
        <v>3</v>
      </c>
      <c r="D3" s="3">
        <v>1.4673500000000002</v>
      </c>
      <c r="E3" s="3">
        <v>1.892115</v>
      </c>
      <c r="F3" s="4">
        <v>5650.93</v>
      </c>
      <c r="G3" s="5">
        <v>0.61577999999999999</v>
      </c>
      <c r="H3" s="5">
        <v>0.27741510800000002</v>
      </c>
      <c r="I3" s="4">
        <v>227.02735999999999</v>
      </c>
      <c r="J3" s="4">
        <f t="shared" si="0"/>
        <v>62.98081959335488</v>
      </c>
      <c r="K3" s="3">
        <v>2.9875150377740889</v>
      </c>
      <c r="L3">
        <v>4</v>
      </c>
      <c r="M3">
        <v>400</v>
      </c>
    </row>
    <row r="4" spans="1:13" x14ac:dyDescent="0.3">
      <c r="A4" s="1" t="s">
        <v>10</v>
      </c>
      <c r="B4" s="1" t="s">
        <v>11</v>
      </c>
      <c r="C4" s="2">
        <v>3</v>
      </c>
      <c r="D4" s="3">
        <v>1.105035</v>
      </c>
      <c r="E4" s="3">
        <v>1.884844</v>
      </c>
      <c r="F4" s="4">
        <v>5998.68</v>
      </c>
      <c r="G4" s="5">
        <v>0.58728000000000002</v>
      </c>
      <c r="H4" s="5">
        <v>0.30772462</v>
      </c>
      <c r="I4" s="4">
        <v>226.98683</v>
      </c>
      <c r="J4" s="4">
        <f t="shared" si="0"/>
        <v>69.849436006754601</v>
      </c>
      <c r="K4" s="3">
        <v>1.976300406623593</v>
      </c>
      <c r="L4">
        <v>4</v>
      </c>
      <c r="M4">
        <v>400</v>
      </c>
    </row>
    <row r="5" spans="1:13" x14ac:dyDescent="0.3">
      <c r="A5" s="1" t="s">
        <v>12</v>
      </c>
      <c r="B5" s="1" t="s">
        <v>13</v>
      </c>
      <c r="C5" s="2">
        <v>3</v>
      </c>
      <c r="D5" s="3">
        <v>1.2591860000000001</v>
      </c>
      <c r="E5" s="3">
        <v>2.2192029999999998</v>
      </c>
      <c r="F5" s="4">
        <v>5877.55</v>
      </c>
      <c r="G5" s="5">
        <v>0.64322000000000001</v>
      </c>
      <c r="H5" s="5">
        <v>0.25931727100000002</v>
      </c>
      <c r="I5" s="4">
        <v>225.17316</v>
      </c>
      <c r="J5" s="4">
        <f t="shared" si="0"/>
        <v>58.391289353646364</v>
      </c>
      <c r="K5" s="3">
        <v>2.849101687810196</v>
      </c>
      <c r="L5">
        <v>4</v>
      </c>
      <c r="M5">
        <v>400</v>
      </c>
    </row>
    <row r="6" spans="1:13" x14ac:dyDescent="0.3">
      <c r="A6" s="1" t="s">
        <v>14</v>
      </c>
      <c r="B6" s="1" t="s">
        <v>15</v>
      </c>
      <c r="C6" s="2">
        <v>3</v>
      </c>
      <c r="D6" s="3">
        <v>1.1240780000000001</v>
      </c>
      <c r="E6" s="3">
        <v>2.0102760000000002</v>
      </c>
      <c r="F6" s="4">
        <v>5762.85</v>
      </c>
      <c r="G6" s="5">
        <v>0.59140000000000004</v>
      </c>
      <c r="H6" s="5">
        <v>0.29679821899999997</v>
      </c>
      <c r="I6" s="4">
        <v>223.79134999999999</v>
      </c>
      <c r="J6" s="4">
        <f t="shared" si="0"/>
        <v>66.420874107605641</v>
      </c>
      <c r="K6" s="3">
        <v>2.4185714948717671</v>
      </c>
      <c r="L6">
        <v>4</v>
      </c>
      <c r="M6">
        <v>400</v>
      </c>
    </row>
    <row r="7" spans="1:13" x14ac:dyDescent="0.3">
      <c r="A7" s="1" t="s">
        <v>16</v>
      </c>
      <c r="B7" s="1" t="s">
        <v>17</v>
      </c>
      <c r="C7" s="2">
        <v>3</v>
      </c>
      <c r="D7" s="3">
        <v>1.5306609999999998</v>
      </c>
      <c r="E7" s="3">
        <v>2.0591020000000002</v>
      </c>
      <c r="F7" s="4">
        <v>5710.2</v>
      </c>
      <c r="G7" s="5">
        <v>0.67083999999999999</v>
      </c>
      <c r="H7" s="5">
        <v>0.24407959700000001</v>
      </c>
      <c r="I7" s="4">
        <v>222.72833</v>
      </c>
      <c r="J7" s="4">
        <f t="shared" si="0"/>
        <v>54.363441026883009</v>
      </c>
      <c r="K7" s="3">
        <v>3.1614505997794407</v>
      </c>
      <c r="L7">
        <v>4</v>
      </c>
      <c r="M7">
        <v>400</v>
      </c>
    </row>
    <row r="8" spans="1:13" x14ac:dyDescent="0.3">
      <c r="A8" s="1" t="s">
        <v>18</v>
      </c>
      <c r="B8" s="1" t="s">
        <v>19</v>
      </c>
      <c r="C8" s="2">
        <v>3</v>
      </c>
      <c r="D8" s="3">
        <v>1.3012570000000001</v>
      </c>
      <c r="E8" s="3">
        <v>1.936194</v>
      </c>
      <c r="F8" s="4">
        <v>5617.23</v>
      </c>
      <c r="G8" s="5">
        <v>0.60785999999999996</v>
      </c>
      <c r="H8" s="5">
        <v>0.27544245699999997</v>
      </c>
      <c r="I8" s="4">
        <v>221.54040000000001</v>
      </c>
      <c r="J8" s="4">
        <f t="shared" si="0"/>
        <v>61.021632100762794</v>
      </c>
      <c r="K8" s="3">
        <v>2.6634952707698534</v>
      </c>
      <c r="L8">
        <v>4</v>
      </c>
      <c r="M8">
        <v>400</v>
      </c>
    </row>
    <row r="9" spans="1:13" x14ac:dyDescent="0.3">
      <c r="A9" s="1" t="s">
        <v>20</v>
      </c>
      <c r="B9" s="1" t="s">
        <v>21</v>
      </c>
      <c r="C9" s="2">
        <v>3</v>
      </c>
      <c r="D9" s="3">
        <v>1.4346049999999999</v>
      </c>
      <c r="E9" s="3">
        <v>2.0246870000000001</v>
      </c>
      <c r="F9" s="4">
        <v>5950.46</v>
      </c>
      <c r="G9" s="5">
        <v>0.65102000000000004</v>
      </c>
      <c r="H9" s="5">
        <v>0.23950939399999999</v>
      </c>
      <c r="I9" s="4">
        <v>220.9126</v>
      </c>
      <c r="J9" s="4">
        <f t="shared" si="0"/>
        <v>52.910642952964395</v>
      </c>
      <c r="K9" s="3">
        <v>3.4617045587647644</v>
      </c>
      <c r="L9">
        <v>4</v>
      </c>
      <c r="M9">
        <v>400</v>
      </c>
    </row>
    <row r="10" spans="1:13" x14ac:dyDescent="0.3">
      <c r="A10" s="1" t="s">
        <v>22</v>
      </c>
      <c r="B10" s="1" t="s">
        <v>23</v>
      </c>
      <c r="C10" s="2">
        <v>3</v>
      </c>
      <c r="D10" s="3">
        <v>1.6158829999999997</v>
      </c>
      <c r="E10" s="3">
        <v>2.5089999999999999</v>
      </c>
      <c r="F10" s="4">
        <v>5595.77</v>
      </c>
      <c r="G10" s="5">
        <v>0.73533999999999999</v>
      </c>
      <c r="H10" s="5">
        <v>0.209482319</v>
      </c>
      <c r="I10" s="4">
        <v>220.89902000000001</v>
      </c>
      <c r="J10" s="4">
        <f t="shared" si="0"/>
        <v>46.274438974427383</v>
      </c>
      <c r="K10" s="3">
        <v>5.3075659589663493</v>
      </c>
      <c r="L10">
        <v>4</v>
      </c>
      <c r="M10">
        <v>400</v>
      </c>
    </row>
    <row r="11" spans="1:13" x14ac:dyDescent="0.3">
      <c r="A11" s="1" t="s">
        <v>24</v>
      </c>
      <c r="B11" s="1" t="s">
        <v>25</v>
      </c>
      <c r="C11" s="2">
        <v>3</v>
      </c>
      <c r="D11" s="3">
        <v>1.521409</v>
      </c>
      <c r="E11" s="3">
        <v>2.091059</v>
      </c>
      <c r="F11" s="4">
        <v>5565.57</v>
      </c>
      <c r="G11" s="5">
        <v>0.63371999999999995</v>
      </c>
      <c r="H11" s="5">
        <v>0.28442831699999999</v>
      </c>
      <c r="I11" s="4">
        <v>220.51602</v>
      </c>
      <c r="J11" s="4">
        <f t="shared" si="0"/>
        <v>62.721000440138333</v>
      </c>
      <c r="K11" s="3">
        <v>2.9920972156541694</v>
      </c>
      <c r="L11">
        <v>4</v>
      </c>
      <c r="M11">
        <v>400</v>
      </c>
    </row>
    <row r="12" spans="1:13" x14ac:dyDescent="0.3">
      <c r="A12" s="1" t="s">
        <v>26</v>
      </c>
      <c r="B12" s="1" t="s">
        <v>27</v>
      </c>
      <c r="C12" s="2">
        <v>3</v>
      </c>
      <c r="D12" s="3">
        <v>1.306883</v>
      </c>
      <c r="E12" s="3">
        <v>1.8178519999999998</v>
      </c>
      <c r="F12" s="4">
        <v>6229.84</v>
      </c>
      <c r="G12" s="5">
        <v>0.61224000000000001</v>
      </c>
      <c r="H12" s="5">
        <v>0.26224639199999999</v>
      </c>
      <c r="I12" s="4">
        <v>220.51486</v>
      </c>
      <c r="J12" s="4">
        <f t="shared" si="0"/>
        <v>57.829226417385115</v>
      </c>
      <c r="K12" s="3">
        <v>2.9129001641071048</v>
      </c>
      <c r="L12">
        <v>4</v>
      </c>
      <c r="M12">
        <v>400</v>
      </c>
    </row>
    <row r="13" spans="1:13" x14ac:dyDescent="0.3">
      <c r="A13" s="1" t="s">
        <v>28</v>
      </c>
      <c r="B13" s="1" t="s">
        <v>29</v>
      </c>
      <c r="C13" s="2">
        <v>3</v>
      </c>
      <c r="D13" s="3">
        <v>2.4670390000000002</v>
      </c>
      <c r="E13" s="3">
        <v>2.5468549999999999</v>
      </c>
      <c r="F13" s="4">
        <v>5862.57</v>
      </c>
      <c r="G13" s="5">
        <v>0.83038000000000001</v>
      </c>
      <c r="H13" s="5">
        <v>0.134142385</v>
      </c>
      <c r="I13" s="4">
        <v>220.34370000000001</v>
      </c>
      <c r="J13" s="4">
        <f t="shared" si="0"/>
        <v>29.557429437724501</v>
      </c>
      <c r="K13" s="3">
        <v>5.8974056292678592</v>
      </c>
      <c r="L13">
        <v>4</v>
      </c>
      <c r="M13">
        <v>400</v>
      </c>
    </row>
    <row r="14" spans="1:13" x14ac:dyDescent="0.3">
      <c r="A14" s="1" t="s">
        <v>30</v>
      </c>
      <c r="B14" s="1" t="s">
        <v>31</v>
      </c>
      <c r="C14" s="2">
        <v>3</v>
      </c>
      <c r="D14" s="3">
        <v>1.978386</v>
      </c>
      <c r="E14" s="3">
        <v>2.2530100000000002</v>
      </c>
      <c r="F14" s="4">
        <v>5783.33</v>
      </c>
      <c r="G14" s="5">
        <v>0.78480000000000005</v>
      </c>
      <c r="H14" s="5">
        <v>0.168001387</v>
      </c>
      <c r="I14" s="4">
        <v>220.00620000000001</v>
      </c>
      <c r="J14" s="4">
        <f t="shared" si="0"/>
        <v>36.961346748599404</v>
      </c>
      <c r="K14" s="3">
        <v>5.7057200595526654</v>
      </c>
      <c r="L14">
        <v>4</v>
      </c>
      <c r="M14">
        <v>400</v>
      </c>
    </row>
    <row r="15" spans="1:13" x14ac:dyDescent="0.3">
      <c r="A15" s="1" t="s">
        <v>32</v>
      </c>
      <c r="B15" s="1" t="s">
        <v>33</v>
      </c>
      <c r="C15" s="2">
        <v>3</v>
      </c>
      <c r="D15" s="3">
        <v>2.0805530000000001</v>
      </c>
      <c r="E15" s="3">
        <v>2.3383980000000002</v>
      </c>
      <c r="F15" s="4">
        <v>5862.3</v>
      </c>
      <c r="G15" s="5">
        <v>0.78966000000000003</v>
      </c>
      <c r="H15" s="5">
        <v>0.16244043</v>
      </c>
      <c r="I15" s="4">
        <v>220.00620000000001</v>
      </c>
      <c r="J15" s="4">
        <f t="shared" si="0"/>
        <v>35.737901730666003</v>
      </c>
      <c r="K15" s="3">
        <v>5.8974056292678592</v>
      </c>
      <c r="L15">
        <v>4</v>
      </c>
      <c r="M15">
        <v>400</v>
      </c>
    </row>
    <row r="16" spans="1:13" x14ac:dyDescent="0.3">
      <c r="A16" s="1" t="s">
        <v>34</v>
      </c>
      <c r="B16" s="1" t="s">
        <v>35</v>
      </c>
      <c r="C16" s="2">
        <v>3</v>
      </c>
      <c r="D16" s="3">
        <v>2.0405629999999997</v>
      </c>
      <c r="E16" s="3">
        <v>2.9325209999999999</v>
      </c>
      <c r="F16" s="4">
        <v>5769.83</v>
      </c>
      <c r="G16" s="5">
        <v>0.77473999999999998</v>
      </c>
      <c r="H16" s="5">
        <v>0.17307031</v>
      </c>
      <c r="I16" s="4">
        <v>219.80157</v>
      </c>
      <c r="J16" s="4">
        <f t="shared" si="0"/>
        <v>38.0411258583867</v>
      </c>
      <c r="K16" s="3">
        <v>5.7535964797399144</v>
      </c>
      <c r="L16">
        <v>4</v>
      </c>
      <c r="M16">
        <v>400</v>
      </c>
    </row>
    <row r="17" spans="1:13" x14ac:dyDescent="0.3">
      <c r="A17" s="1" t="s">
        <v>36</v>
      </c>
      <c r="B17" s="1" t="s">
        <v>37</v>
      </c>
      <c r="C17" s="2">
        <v>3</v>
      </c>
      <c r="D17" s="3">
        <v>1.2375159999999998</v>
      </c>
      <c r="E17" s="3">
        <v>1.6552520000000002</v>
      </c>
      <c r="F17" s="4">
        <v>5424.27</v>
      </c>
      <c r="G17" s="5">
        <v>0.57255999999999996</v>
      </c>
      <c r="H17" s="5">
        <v>0.30621789100000002</v>
      </c>
      <c r="I17" s="4">
        <v>219.13131999999999</v>
      </c>
      <c r="J17" s="4">
        <f t="shared" si="0"/>
        <v>67.101930662446122</v>
      </c>
      <c r="K17" s="3">
        <v>2.5961246452824991</v>
      </c>
      <c r="L17">
        <v>4</v>
      </c>
      <c r="M17">
        <v>400</v>
      </c>
    </row>
    <row r="18" spans="1:13" x14ac:dyDescent="0.3">
      <c r="A18" s="1" t="s">
        <v>38</v>
      </c>
      <c r="B18" s="1" t="s">
        <v>39</v>
      </c>
      <c r="C18" s="2">
        <v>3</v>
      </c>
      <c r="D18" s="3">
        <v>1.527355</v>
      </c>
      <c r="E18" s="3">
        <v>1.815725</v>
      </c>
      <c r="F18" s="4">
        <v>5620.77</v>
      </c>
      <c r="G18" s="5">
        <v>0.71609999999999996</v>
      </c>
      <c r="H18" s="5">
        <v>0.23235930599999999</v>
      </c>
      <c r="I18" s="4">
        <v>219.10844</v>
      </c>
      <c r="J18" s="4">
        <f t="shared" si="0"/>
        <v>50.911885057142641</v>
      </c>
      <c r="K18" s="3">
        <v>4.5117376685794026</v>
      </c>
      <c r="L18">
        <v>4</v>
      </c>
      <c r="M18">
        <v>400</v>
      </c>
    </row>
    <row r="19" spans="1:13" x14ac:dyDescent="0.3">
      <c r="A19" s="1" t="s">
        <v>40</v>
      </c>
      <c r="B19" s="1" t="s">
        <v>41</v>
      </c>
      <c r="C19" s="2">
        <v>3</v>
      </c>
      <c r="D19" s="3">
        <v>1.1338459999999999</v>
      </c>
      <c r="E19" s="3">
        <v>1.6506070000000002</v>
      </c>
      <c r="F19" s="4">
        <v>5654.34</v>
      </c>
      <c r="G19" s="5">
        <v>0.55801999999999996</v>
      </c>
      <c r="H19" s="5">
        <v>0.32083039200000002</v>
      </c>
      <c r="I19" s="4">
        <v>218.74181999999999</v>
      </c>
      <c r="J19" s="4">
        <f t="shared" si="0"/>
        <v>70.179023857393446</v>
      </c>
      <c r="K19" s="3">
        <v>1.967296412555112</v>
      </c>
      <c r="L19">
        <v>4</v>
      </c>
      <c r="M19">
        <v>400</v>
      </c>
    </row>
    <row r="20" spans="1:13" x14ac:dyDescent="0.3">
      <c r="A20" s="1" t="s">
        <v>42</v>
      </c>
      <c r="B20" s="1" t="s">
        <v>43</v>
      </c>
      <c r="C20" s="2">
        <v>3</v>
      </c>
      <c r="D20" s="3">
        <v>1.4772500000000002</v>
      </c>
      <c r="E20" s="3">
        <v>2.4347699999999999</v>
      </c>
      <c r="F20" s="4">
        <v>5952.75</v>
      </c>
      <c r="G20" s="5">
        <v>0.68686000000000003</v>
      </c>
      <c r="H20" s="5">
        <v>0.226233766</v>
      </c>
      <c r="I20" s="4">
        <v>218.40970999999999</v>
      </c>
      <c r="J20" s="4">
        <f t="shared" si="0"/>
        <v>49.411651224267857</v>
      </c>
      <c r="K20" s="3">
        <v>3.9488057462755841</v>
      </c>
      <c r="L20">
        <v>4</v>
      </c>
      <c r="M20">
        <v>400</v>
      </c>
    </row>
    <row r="21" spans="1:13" x14ac:dyDescent="0.3">
      <c r="A21" s="1" t="s">
        <v>44</v>
      </c>
      <c r="B21" s="1" t="s">
        <v>45</v>
      </c>
      <c r="C21" s="2">
        <v>3</v>
      </c>
      <c r="D21" s="3">
        <v>2.490202</v>
      </c>
      <c r="E21" s="3">
        <v>2.6097489999999999</v>
      </c>
      <c r="F21" s="4">
        <v>6233.87</v>
      </c>
      <c r="G21" s="5">
        <v>0.82267999999999997</v>
      </c>
      <c r="H21" s="5">
        <v>0.126810806</v>
      </c>
      <c r="I21" s="4">
        <v>218.19191000000001</v>
      </c>
      <c r="J21" s="4">
        <f t="shared" si="0"/>
        <v>27.669091969779462</v>
      </c>
      <c r="K21" s="3">
        <v>5.8974056292678592</v>
      </c>
      <c r="L21">
        <v>4</v>
      </c>
      <c r="M21">
        <v>400</v>
      </c>
    </row>
    <row r="22" spans="1:13" x14ac:dyDescent="0.3">
      <c r="A22" s="1" t="s">
        <v>46</v>
      </c>
      <c r="B22" s="1" t="s">
        <v>47</v>
      </c>
      <c r="C22" s="2">
        <v>3</v>
      </c>
      <c r="D22" s="3">
        <v>1.2404899999999999</v>
      </c>
      <c r="E22" s="3">
        <v>1.7218620000000002</v>
      </c>
      <c r="F22" s="4">
        <v>5802.96</v>
      </c>
      <c r="G22" s="5">
        <v>0.61109999999999998</v>
      </c>
      <c r="H22" s="5">
        <v>0.27118547100000001</v>
      </c>
      <c r="I22" s="4">
        <v>218.18897999999999</v>
      </c>
      <c r="J22" s="4">
        <f t="shared" si="0"/>
        <v>59.169681308309578</v>
      </c>
      <c r="K22" s="3">
        <v>2.6019435489834666</v>
      </c>
      <c r="L22">
        <v>4</v>
      </c>
      <c r="M22">
        <v>400</v>
      </c>
    </row>
    <row r="23" spans="1:13" x14ac:dyDescent="0.3">
      <c r="A23" s="1" t="s">
        <v>48</v>
      </c>
      <c r="B23" s="1" t="s">
        <v>49</v>
      </c>
      <c r="C23" s="2">
        <v>3</v>
      </c>
      <c r="D23" s="3">
        <v>0.95303099999999996</v>
      </c>
      <c r="E23" s="3">
        <v>1.662415</v>
      </c>
      <c r="F23" s="4">
        <v>5542.08</v>
      </c>
      <c r="G23" s="5">
        <v>0.62090000000000001</v>
      </c>
      <c r="H23" s="5">
        <v>0.28688206199999999</v>
      </c>
      <c r="I23" s="4">
        <v>218.01727</v>
      </c>
      <c r="J23" s="4">
        <f t="shared" si="0"/>
        <v>62.545243969210738</v>
      </c>
      <c r="K23" s="3">
        <v>1.8799792247743385</v>
      </c>
      <c r="L23">
        <v>4</v>
      </c>
      <c r="M23">
        <v>400</v>
      </c>
    </row>
    <row r="24" spans="1:13" x14ac:dyDescent="0.3">
      <c r="A24" s="1" t="s">
        <v>50</v>
      </c>
      <c r="B24" s="1" t="s">
        <v>51</v>
      </c>
      <c r="C24" s="2">
        <v>3</v>
      </c>
      <c r="D24" s="3">
        <v>2.1004259999999997</v>
      </c>
      <c r="E24" s="3">
        <v>2.1956730000000002</v>
      </c>
      <c r="F24" s="4">
        <v>6214.81</v>
      </c>
      <c r="G24" s="5">
        <v>0.79271999999999998</v>
      </c>
      <c r="H24" s="5">
        <v>0.15709504899999999</v>
      </c>
      <c r="I24" s="4">
        <v>217.8544</v>
      </c>
      <c r="J24" s="4">
        <f t="shared" si="0"/>
        <v>34.2238476428656</v>
      </c>
      <c r="K24" s="3">
        <v>5.8974056292678592</v>
      </c>
      <c r="L24">
        <v>4</v>
      </c>
      <c r="M24">
        <v>400</v>
      </c>
    </row>
    <row r="25" spans="1:13" x14ac:dyDescent="0.3">
      <c r="A25" s="1" t="s">
        <v>52</v>
      </c>
      <c r="B25" s="1" t="s">
        <v>53</v>
      </c>
      <c r="C25" s="2">
        <v>3</v>
      </c>
      <c r="D25" s="3">
        <v>1.376925</v>
      </c>
      <c r="E25" s="3">
        <v>2.2990550000000001</v>
      </c>
      <c r="F25" s="4">
        <v>5583.37</v>
      </c>
      <c r="G25" s="5">
        <v>0.66752</v>
      </c>
      <c r="H25" s="5">
        <v>0.25212499199999999</v>
      </c>
      <c r="I25" s="4">
        <v>217.6123</v>
      </c>
      <c r="J25" s="4">
        <f t="shared" si="0"/>
        <v>54.865499396601599</v>
      </c>
      <c r="K25" s="3">
        <v>3.1960384834015487</v>
      </c>
      <c r="L25">
        <v>4</v>
      </c>
      <c r="M25">
        <v>400</v>
      </c>
    </row>
    <row r="26" spans="1:13" x14ac:dyDescent="0.3">
      <c r="A26" s="1" t="s">
        <v>54</v>
      </c>
      <c r="B26" s="1" t="s">
        <v>55</v>
      </c>
      <c r="C26" s="2">
        <v>3</v>
      </c>
      <c r="D26" s="3">
        <v>1.457759</v>
      </c>
      <c r="E26" s="3">
        <v>1.729833</v>
      </c>
      <c r="F26" s="4">
        <v>5686.18</v>
      </c>
      <c r="G26" s="5">
        <v>0.53935999999999995</v>
      </c>
      <c r="H26" s="5">
        <v>0.30771320499999999</v>
      </c>
      <c r="I26" s="4">
        <v>217.40375</v>
      </c>
      <c r="J26" s="4">
        <f t="shared" si="0"/>
        <v>66.89800469151875</v>
      </c>
      <c r="K26" s="3">
        <v>2.1967609506677683</v>
      </c>
      <c r="L26">
        <v>4</v>
      </c>
      <c r="M26">
        <v>400</v>
      </c>
    </row>
    <row r="27" spans="1:13" x14ac:dyDescent="0.3">
      <c r="A27" s="1" t="s">
        <v>56</v>
      </c>
      <c r="B27" s="1" t="s">
        <v>57</v>
      </c>
      <c r="C27" s="2">
        <v>3</v>
      </c>
      <c r="D27" s="3">
        <v>1.702234</v>
      </c>
      <c r="E27" s="3">
        <v>2.5385619999999998</v>
      </c>
      <c r="F27" s="4">
        <v>6029.58</v>
      </c>
      <c r="G27" s="5">
        <v>0.71486000000000005</v>
      </c>
      <c r="H27" s="5">
        <v>0.20870655299999999</v>
      </c>
      <c r="I27" s="4">
        <v>217.21827999999999</v>
      </c>
      <c r="J27" s="4">
        <f t="shared" si="0"/>
        <v>45.334878467388833</v>
      </c>
      <c r="K27" s="3">
        <v>5.5114592408067642</v>
      </c>
      <c r="L27">
        <v>4</v>
      </c>
      <c r="M27">
        <v>400</v>
      </c>
    </row>
    <row r="28" spans="1:13" x14ac:dyDescent="0.3">
      <c r="A28" s="1" t="s">
        <v>58</v>
      </c>
      <c r="B28" s="1" t="s">
        <v>59</v>
      </c>
      <c r="C28" s="2">
        <v>3</v>
      </c>
      <c r="D28" s="3">
        <v>1.6402239999999999</v>
      </c>
      <c r="E28" s="3">
        <v>2.4844689999999998</v>
      </c>
      <c r="F28" s="4">
        <v>6187.46</v>
      </c>
      <c r="G28" s="5">
        <v>0.71530000000000005</v>
      </c>
      <c r="H28" s="5">
        <v>0.206269379</v>
      </c>
      <c r="I28" s="4">
        <v>217.21827999999999</v>
      </c>
      <c r="J28" s="4">
        <f t="shared" si="0"/>
        <v>44.805479723048116</v>
      </c>
      <c r="K28" s="3">
        <v>5.5114592408067642</v>
      </c>
      <c r="L28">
        <v>4</v>
      </c>
      <c r="M28">
        <v>400</v>
      </c>
    </row>
    <row r="29" spans="1:13" x14ac:dyDescent="0.3">
      <c r="A29" s="1" t="s">
        <v>60</v>
      </c>
      <c r="B29" s="1" t="s">
        <v>61</v>
      </c>
      <c r="C29" s="2">
        <v>3</v>
      </c>
      <c r="D29" s="3">
        <v>1.8907589999999999</v>
      </c>
      <c r="E29" s="3">
        <v>2.4904859999999998</v>
      </c>
      <c r="F29" s="4">
        <v>5953</v>
      </c>
      <c r="G29" s="5">
        <v>0.73829999999999996</v>
      </c>
      <c r="H29" s="5">
        <v>0.19403271799999999</v>
      </c>
      <c r="I29" s="4">
        <v>217.21827999999999</v>
      </c>
      <c r="J29" s="4">
        <f t="shared" si="0"/>
        <v>42.147453267685037</v>
      </c>
      <c r="K29" s="3">
        <v>5.8252960267303653</v>
      </c>
      <c r="L29">
        <v>4</v>
      </c>
      <c r="M29">
        <v>400</v>
      </c>
    </row>
    <row r="30" spans="1:13" x14ac:dyDescent="0.3">
      <c r="A30" s="1" t="s">
        <v>62</v>
      </c>
      <c r="B30" s="1" t="s">
        <v>63</v>
      </c>
      <c r="C30" s="2">
        <v>3</v>
      </c>
      <c r="D30" s="3">
        <v>1.956934</v>
      </c>
      <c r="E30" s="3">
        <v>2.1722700000000001</v>
      </c>
      <c r="F30" s="4">
        <v>6113.92</v>
      </c>
      <c r="G30" s="5">
        <v>0.76678000000000002</v>
      </c>
      <c r="H30" s="5">
        <v>0.17010107899999999</v>
      </c>
      <c r="I30" s="4">
        <v>217.13390000000001</v>
      </c>
      <c r="J30" s="4">
        <f t="shared" si="0"/>
        <v>36.934710677478101</v>
      </c>
      <c r="K30" s="3">
        <v>5.8252960267303653</v>
      </c>
      <c r="L30">
        <v>4</v>
      </c>
      <c r="M30">
        <v>400</v>
      </c>
    </row>
    <row r="31" spans="1:13" x14ac:dyDescent="0.3">
      <c r="A31" s="1" t="s">
        <v>64</v>
      </c>
      <c r="B31" s="1" t="s">
        <v>65</v>
      </c>
      <c r="C31" s="2">
        <v>3</v>
      </c>
      <c r="D31" s="3">
        <v>1.9485399999999999</v>
      </c>
      <c r="E31" s="3">
        <v>2.2350400000000001</v>
      </c>
      <c r="F31" s="4">
        <v>6075.34</v>
      </c>
      <c r="G31" s="5">
        <v>0.76917999999999997</v>
      </c>
      <c r="H31" s="5">
        <v>0.17117674299999999</v>
      </c>
      <c r="I31" s="4">
        <v>216.88077000000001</v>
      </c>
      <c r="J31" s="4">
        <f t="shared" si="0"/>
        <v>37.124943827932114</v>
      </c>
      <c r="K31" s="3">
        <v>5.8252960267303653</v>
      </c>
      <c r="L31">
        <v>4</v>
      </c>
      <c r="M31">
        <v>400</v>
      </c>
    </row>
    <row r="32" spans="1:13" x14ac:dyDescent="0.3">
      <c r="A32" s="1" t="s">
        <v>66</v>
      </c>
      <c r="B32" s="1" t="s">
        <v>67</v>
      </c>
      <c r="C32" s="2">
        <v>3</v>
      </c>
      <c r="D32" s="3">
        <v>1.269385</v>
      </c>
      <c r="E32" s="3">
        <v>1.6157869999999999</v>
      </c>
      <c r="F32" s="4">
        <v>5488.97</v>
      </c>
      <c r="G32" s="5">
        <v>0.61758000000000002</v>
      </c>
      <c r="H32" s="5">
        <v>0.30749142600000001</v>
      </c>
      <c r="I32" s="4">
        <v>216.50241</v>
      </c>
      <c r="J32" s="4">
        <f t="shared" si="0"/>
        <v>66.572634783336667</v>
      </c>
      <c r="K32" s="3">
        <v>1.9477052729094326</v>
      </c>
      <c r="L32">
        <v>4</v>
      </c>
      <c r="M32">
        <v>400</v>
      </c>
    </row>
    <row r="33" spans="1:13" x14ac:dyDescent="0.3">
      <c r="A33" s="1" t="s">
        <v>68</v>
      </c>
      <c r="B33" s="1" t="s">
        <v>69</v>
      </c>
      <c r="C33" s="2">
        <v>3</v>
      </c>
      <c r="D33" s="3">
        <v>1.4685570000000001</v>
      </c>
      <c r="E33" s="3">
        <v>1.725088</v>
      </c>
      <c r="F33" s="4">
        <v>5549.35</v>
      </c>
      <c r="G33" s="5">
        <v>0.65986</v>
      </c>
      <c r="H33" s="5">
        <v>0.26817676899999998</v>
      </c>
      <c r="I33" s="4">
        <v>216.39096000000001</v>
      </c>
      <c r="J33" s="4">
        <f t="shared" si="0"/>
        <v>58.03102849360824</v>
      </c>
      <c r="K33" s="3">
        <v>3.0305335758310195</v>
      </c>
      <c r="L33">
        <v>4</v>
      </c>
      <c r="M33">
        <v>400</v>
      </c>
    </row>
    <row r="34" spans="1:13" x14ac:dyDescent="0.3">
      <c r="A34" s="1" t="s">
        <v>70</v>
      </c>
      <c r="B34" s="1" t="s">
        <v>71</v>
      </c>
      <c r="C34" s="2">
        <v>3</v>
      </c>
      <c r="D34" s="3">
        <v>1.4130420000000001</v>
      </c>
      <c r="E34" s="3">
        <v>1.6903759999999999</v>
      </c>
      <c r="F34" s="4">
        <v>5593.13</v>
      </c>
      <c r="G34" s="5">
        <v>0.57199999999999995</v>
      </c>
      <c r="H34" s="5">
        <v>0.30302336699999999</v>
      </c>
      <c r="I34" s="4">
        <v>216.24922000000001</v>
      </c>
      <c r="J34" s="4">
        <f t="shared" si="0"/>
        <v>65.528566755523741</v>
      </c>
      <c r="K34" s="3">
        <v>3.080773713207372</v>
      </c>
      <c r="L34">
        <v>4</v>
      </c>
      <c r="M34">
        <v>400</v>
      </c>
    </row>
    <row r="35" spans="1:13" x14ac:dyDescent="0.3">
      <c r="A35" s="1" t="s">
        <v>72</v>
      </c>
      <c r="B35" s="1" t="s">
        <v>73</v>
      </c>
      <c r="C35" s="2">
        <v>3</v>
      </c>
      <c r="D35" s="3">
        <v>1.206499</v>
      </c>
      <c r="E35" s="3">
        <v>1.4782899999999999</v>
      </c>
      <c r="F35" s="4">
        <v>5525.69</v>
      </c>
      <c r="G35" s="5">
        <v>0.59008000000000005</v>
      </c>
      <c r="H35" s="5">
        <v>0.31488137300000002</v>
      </c>
      <c r="I35" s="4">
        <v>216.04732999999999</v>
      </c>
      <c r="J35" s="4">
        <f t="shared" si="0"/>
        <v>68.029279903384094</v>
      </c>
      <c r="K35" s="3">
        <v>1.9464124775826797</v>
      </c>
      <c r="L35">
        <v>4</v>
      </c>
      <c r="M35">
        <v>400</v>
      </c>
    </row>
    <row r="36" spans="1:13" x14ac:dyDescent="0.3">
      <c r="A36" s="1" t="s">
        <v>74</v>
      </c>
      <c r="B36" s="1" t="s">
        <v>75</v>
      </c>
      <c r="C36" s="2">
        <v>3</v>
      </c>
      <c r="D36" s="3">
        <v>1.079086</v>
      </c>
      <c r="E36" s="3">
        <v>1.5737380000000001</v>
      </c>
      <c r="F36" s="4">
        <v>5421.72</v>
      </c>
      <c r="G36" s="5">
        <v>0.52168000000000003</v>
      </c>
      <c r="H36" s="5">
        <v>0.34353602700000002</v>
      </c>
      <c r="I36" s="4">
        <v>215.90063000000001</v>
      </c>
      <c r="J36" s="4">
        <f t="shared" si="0"/>
        <v>74.169644656997022</v>
      </c>
      <c r="K36" s="3">
        <v>1.7866976245345507</v>
      </c>
      <c r="L36">
        <v>4</v>
      </c>
      <c r="M36">
        <v>400</v>
      </c>
    </row>
    <row r="37" spans="1:13" x14ac:dyDescent="0.3">
      <c r="A37" s="1" t="s">
        <v>76</v>
      </c>
      <c r="B37" s="1" t="s">
        <v>77</v>
      </c>
      <c r="C37" s="2">
        <v>3</v>
      </c>
      <c r="D37" s="3">
        <v>2.0671460000000002</v>
      </c>
      <c r="E37" s="3">
        <v>2.8989780000000001</v>
      </c>
      <c r="F37" s="4">
        <v>6747.69</v>
      </c>
      <c r="G37" s="5">
        <v>0.78117999999999999</v>
      </c>
      <c r="H37" s="5">
        <v>0.14944713400000001</v>
      </c>
      <c r="I37" s="4">
        <v>215.89264</v>
      </c>
      <c r="J37" s="4">
        <f t="shared" si="0"/>
        <v>32.264536299693759</v>
      </c>
      <c r="K37" s="3">
        <v>5.8974056292678592</v>
      </c>
      <c r="L37">
        <v>4</v>
      </c>
      <c r="M37">
        <v>400</v>
      </c>
    </row>
    <row r="38" spans="1:13" x14ac:dyDescent="0.3">
      <c r="A38" s="1" t="s">
        <v>78</v>
      </c>
      <c r="B38" s="1" t="s">
        <v>79</v>
      </c>
      <c r="C38" s="2">
        <v>1</v>
      </c>
      <c r="D38" s="3">
        <v>0.84307700000000008</v>
      </c>
      <c r="E38" s="3">
        <v>0.92516999999999994</v>
      </c>
      <c r="F38" s="4">
        <v>2825.72</v>
      </c>
      <c r="G38" s="5">
        <v>0.25124000000000002</v>
      </c>
      <c r="H38" s="5">
        <v>0.70935923400000001</v>
      </c>
      <c r="I38" s="4">
        <v>188.96742</v>
      </c>
      <c r="J38" s="4">
        <f t="shared" si="0"/>
        <v>134.04578430215628</v>
      </c>
      <c r="K38" s="3">
        <v>0.27456292951346722</v>
      </c>
      <c r="L38">
        <v>4</v>
      </c>
      <c r="M38">
        <v>400</v>
      </c>
    </row>
    <row r="39" spans="1:13" x14ac:dyDescent="0.3">
      <c r="A39" s="1" t="s">
        <v>80</v>
      </c>
      <c r="B39" s="1" t="s">
        <v>81</v>
      </c>
      <c r="C39" s="2">
        <v>1</v>
      </c>
      <c r="D39" s="3">
        <v>0.92102299999999993</v>
      </c>
      <c r="E39" s="3">
        <v>1.0038259999999999</v>
      </c>
      <c r="F39" s="4">
        <v>2692.14</v>
      </c>
      <c r="G39" s="5">
        <v>0.24406</v>
      </c>
      <c r="H39" s="5">
        <v>0.67997083300000005</v>
      </c>
      <c r="I39" s="4">
        <v>197.09345999999999</v>
      </c>
      <c r="J39" s="4">
        <f t="shared" si="0"/>
        <v>134.01780417505219</v>
      </c>
      <c r="K39" s="3">
        <v>0.25119538718989642</v>
      </c>
      <c r="L39">
        <v>4</v>
      </c>
      <c r="M39">
        <v>400</v>
      </c>
    </row>
    <row r="40" spans="1:13" x14ac:dyDescent="0.3">
      <c r="A40" s="1" t="s">
        <v>82</v>
      </c>
      <c r="B40" s="1" t="s">
        <v>83</v>
      </c>
      <c r="C40" s="2">
        <v>1</v>
      </c>
      <c r="D40" s="3">
        <v>0.94833499999999993</v>
      </c>
      <c r="E40" s="3">
        <v>1.009253</v>
      </c>
      <c r="F40" s="4">
        <v>2604.79</v>
      </c>
      <c r="G40" s="5">
        <v>0.24296000000000001</v>
      </c>
      <c r="H40" s="5">
        <v>0.674769497</v>
      </c>
      <c r="I40" s="4">
        <v>198.57736</v>
      </c>
      <c r="J40" s="4">
        <f t="shared" si="0"/>
        <v>133.99394532278791</v>
      </c>
      <c r="K40" s="3">
        <v>0.31559469913443483</v>
      </c>
      <c r="L40">
        <v>4</v>
      </c>
      <c r="M40">
        <v>400</v>
      </c>
    </row>
    <row r="41" spans="1:13" x14ac:dyDescent="0.3">
      <c r="A41" s="1" t="s">
        <v>84</v>
      </c>
      <c r="B41" s="1" t="s">
        <v>85</v>
      </c>
      <c r="C41" s="2">
        <v>1</v>
      </c>
      <c r="D41" s="3">
        <v>0.962341</v>
      </c>
      <c r="E41" s="3">
        <v>1.0164059999999999</v>
      </c>
      <c r="F41" s="4">
        <v>2718.36</v>
      </c>
      <c r="G41" s="5">
        <v>0.25231999999999999</v>
      </c>
      <c r="H41" s="5">
        <v>0.67182967699999996</v>
      </c>
      <c r="I41" s="4">
        <v>198.57736</v>
      </c>
      <c r="J41" s="4">
        <f t="shared" si="0"/>
        <v>133.41016362831272</v>
      </c>
      <c r="K41" s="3">
        <v>0.31559469913443483</v>
      </c>
      <c r="L41">
        <v>4</v>
      </c>
      <c r="M41">
        <v>400</v>
      </c>
    </row>
    <row r="42" spans="1:13" x14ac:dyDescent="0.3">
      <c r="A42" s="1" t="s">
        <v>86</v>
      </c>
      <c r="B42" s="1" t="s">
        <v>87</v>
      </c>
      <c r="C42" s="2">
        <v>1</v>
      </c>
      <c r="D42" s="3">
        <v>0.86957299999999993</v>
      </c>
      <c r="E42" s="3">
        <v>0.93067200000000005</v>
      </c>
      <c r="F42" s="4">
        <v>2651.1</v>
      </c>
      <c r="G42" s="5">
        <v>0.23422000000000001</v>
      </c>
      <c r="H42" s="5">
        <v>0.66435492200000001</v>
      </c>
      <c r="I42" s="4">
        <v>200.56344999999999</v>
      </c>
      <c r="J42" s="4">
        <f t="shared" si="0"/>
        <v>133.2453151808009</v>
      </c>
      <c r="K42" s="3">
        <v>0.37158838458493854</v>
      </c>
      <c r="L42">
        <v>4</v>
      </c>
      <c r="M42">
        <v>400</v>
      </c>
    </row>
    <row r="43" spans="1:13" x14ac:dyDescent="0.3">
      <c r="A43" s="1" t="s">
        <v>88</v>
      </c>
      <c r="B43" s="1" t="s">
        <v>89</v>
      </c>
      <c r="C43" s="2">
        <v>1</v>
      </c>
      <c r="D43" s="3">
        <v>0.914269</v>
      </c>
      <c r="E43" s="3">
        <v>0.998278</v>
      </c>
      <c r="F43" s="4">
        <v>2817.31</v>
      </c>
      <c r="G43" s="5">
        <v>0.25897999999999999</v>
      </c>
      <c r="H43" s="5">
        <v>0.66404317099999999</v>
      </c>
      <c r="I43" s="4">
        <v>200.04239999999999</v>
      </c>
      <c r="J43" s="4">
        <f t="shared" si="0"/>
        <v>132.8367896304504</v>
      </c>
      <c r="K43" s="3">
        <v>0.25112340999507254</v>
      </c>
      <c r="L43">
        <v>4</v>
      </c>
      <c r="M43">
        <v>400</v>
      </c>
    </row>
    <row r="44" spans="1:13" x14ac:dyDescent="0.3">
      <c r="A44" s="1" t="s">
        <v>90</v>
      </c>
      <c r="B44" s="1" t="s">
        <v>91</v>
      </c>
      <c r="C44" s="2">
        <v>1</v>
      </c>
      <c r="D44" s="3">
        <v>0.89215300000000008</v>
      </c>
      <c r="E44" s="3">
        <v>0.95136299999999996</v>
      </c>
      <c r="F44" s="4">
        <v>2613.06</v>
      </c>
      <c r="G44" s="5">
        <v>0.19788</v>
      </c>
      <c r="H44" s="5">
        <v>0.66104065899999997</v>
      </c>
      <c r="I44" s="4">
        <v>200.56344999999999</v>
      </c>
      <c r="J44" s="4">
        <f t="shared" si="0"/>
        <v>132.58059515931353</v>
      </c>
      <c r="K44" s="3">
        <v>0.21599097256162655</v>
      </c>
      <c r="L44">
        <v>4</v>
      </c>
      <c r="M44">
        <v>400</v>
      </c>
    </row>
    <row r="45" spans="1:13" x14ac:dyDescent="0.3">
      <c r="A45" s="1" t="s">
        <v>92</v>
      </c>
      <c r="B45" s="1" t="s">
        <v>93</v>
      </c>
      <c r="C45" s="2">
        <v>1</v>
      </c>
      <c r="D45" s="3">
        <v>0.86104599999999998</v>
      </c>
      <c r="E45" s="3">
        <v>1.1034760000000001</v>
      </c>
      <c r="F45" s="4">
        <v>2656.71</v>
      </c>
      <c r="G45" s="5">
        <v>0.24822</v>
      </c>
      <c r="H45" s="5">
        <v>0.67640004300000001</v>
      </c>
      <c r="I45" s="4">
        <v>195.73102</v>
      </c>
      <c r="J45" s="4">
        <f t="shared" si="0"/>
        <v>132.39247034443386</v>
      </c>
      <c r="K45" s="3">
        <v>0.33137695276922835</v>
      </c>
      <c r="L45">
        <v>4</v>
      </c>
      <c r="M45">
        <v>400</v>
      </c>
    </row>
    <row r="46" spans="1:13" x14ac:dyDescent="0.3">
      <c r="A46" s="1" t="s">
        <v>94</v>
      </c>
      <c r="B46" s="1" t="s">
        <v>95</v>
      </c>
      <c r="C46" s="2">
        <v>1</v>
      </c>
      <c r="D46" s="3">
        <v>0.88936399999999993</v>
      </c>
      <c r="E46" s="3">
        <v>1.0014540000000001</v>
      </c>
      <c r="F46" s="4">
        <v>2506.36</v>
      </c>
      <c r="G46" s="5">
        <v>0.25568000000000002</v>
      </c>
      <c r="H46" s="5">
        <v>0.74363794800000005</v>
      </c>
      <c r="I46" s="4">
        <v>177.39836</v>
      </c>
      <c r="J46" s="4">
        <f t="shared" si="0"/>
        <v>131.92015240896529</v>
      </c>
      <c r="K46" s="3">
        <v>0.21958630456607001</v>
      </c>
      <c r="L46">
        <v>4</v>
      </c>
      <c r="M46">
        <v>400</v>
      </c>
    </row>
    <row r="47" spans="1:13" x14ac:dyDescent="0.3">
      <c r="A47" s="1" t="s">
        <v>96</v>
      </c>
      <c r="B47" s="1" t="s">
        <v>97</v>
      </c>
      <c r="C47" s="2">
        <v>1</v>
      </c>
      <c r="D47" s="3">
        <v>0.79783000000000004</v>
      </c>
      <c r="E47" s="3">
        <v>0.85340500000000008</v>
      </c>
      <c r="F47" s="4">
        <v>2763.92</v>
      </c>
      <c r="G47" s="5">
        <v>0.22189999999999999</v>
      </c>
      <c r="H47" s="5">
        <v>0.69880300299999998</v>
      </c>
      <c r="I47" s="4">
        <v>188.20742999999999</v>
      </c>
      <c r="J47" s="4">
        <f t="shared" si="0"/>
        <v>131.51991727091229</v>
      </c>
      <c r="K47" s="3">
        <v>0.26156447564950625</v>
      </c>
      <c r="L47">
        <v>4</v>
      </c>
      <c r="M47">
        <v>400</v>
      </c>
    </row>
    <row r="48" spans="1:13" x14ac:dyDescent="0.3">
      <c r="A48" s="1" t="s">
        <v>98</v>
      </c>
      <c r="B48" s="1" t="s">
        <v>99</v>
      </c>
      <c r="C48" s="2">
        <v>1</v>
      </c>
      <c r="D48" s="3">
        <v>0.79905400000000004</v>
      </c>
      <c r="E48" s="3">
        <v>0.85449800000000009</v>
      </c>
      <c r="F48" s="4">
        <v>2559.2800000000002</v>
      </c>
      <c r="G48" s="5">
        <v>0.20618</v>
      </c>
      <c r="H48" s="5">
        <v>0.73600408500000003</v>
      </c>
      <c r="I48" s="4">
        <v>177.84818000000001</v>
      </c>
      <c r="J48" s="4">
        <f t="shared" si="0"/>
        <v>130.8969869898153</v>
      </c>
      <c r="K48" s="3">
        <v>0.22096312329825857</v>
      </c>
      <c r="L48">
        <v>4</v>
      </c>
      <c r="M48">
        <v>400</v>
      </c>
    </row>
    <row r="49" spans="1:13" x14ac:dyDescent="0.3">
      <c r="A49" s="1" t="s">
        <v>100</v>
      </c>
      <c r="B49" s="1" t="s">
        <v>101</v>
      </c>
      <c r="C49" s="2">
        <v>1</v>
      </c>
      <c r="D49" s="3">
        <v>0.89162700000000006</v>
      </c>
      <c r="E49" s="3">
        <v>1.000974</v>
      </c>
      <c r="F49" s="4">
        <v>2890.78</v>
      </c>
      <c r="G49" s="5">
        <v>0.25519999999999998</v>
      </c>
      <c r="H49" s="5">
        <v>0.65515261800000002</v>
      </c>
      <c r="I49" s="4">
        <v>199.33760000000001</v>
      </c>
      <c r="J49" s="4">
        <f t="shared" si="0"/>
        <v>130.5965505058368</v>
      </c>
      <c r="K49" s="3">
        <v>0.2367234218781149</v>
      </c>
      <c r="L49">
        <v>4</v>
      </c>
      <c r="M49">
        <v>400</v>
      </c>
    </row>
    <row r="50" spans="1:13" x14ac:dyDescent="0.3">
      <c r="A50" s="1" t="s">
        <v>102</v>
      </c>
      <c r="B50" s="1" t="s">
        <v>103</v>
      </c>
      <c r="C50" s="2">
        <v>1</v>
      </c>
      <c r="D50" s="3">
        <v>0.8388540000000001</v>
      </c>
      <c r="E50" s="3">
        <v>0.89257600000000004</v>
      </c>
      <c r="F50" s="4">
        <v>2038.58</v>
      </c>
      <c r="G50" s="5">
        <v>0.25853999999999999</v>
      </c>
      <c r="H50" s="5">
        <v>0.88204352200000002</v>
      </c>
      <c r="I50" s="4">
        <v>148.03112999999999</v>
      </c>
      <c r="J50" s="4">
        <f t="shared" si="0"/>
        <v>130.56989927083987</v>
      </c>
      <c r="K50" s="3">
        <v>0.2447546209489854</v>
      </c>
      <c r="L50">
        <v>4</v>
      </c>
      <c r="M50">
        <v>400</v>
      </c>
    </row>
    <row r="51" spans="1:13" x14ac:dyDescent="0.3">
      <c r="A51" s="1" t="s">
        <v>104</v>
      </c>
      <c r="B51" s="1" t="s">
        <v>105</v>
      </c>
      <c r="C51" s="2">
        <v>1</v>
      </c>
      <c r="D51" s="3">
        <v>0.81440099999999993</v>
      </c>
      <c r="E51" s="3">
        <v>0.90902799999999995</v>
      </c>
      <c r="F51" s="4">
        <v>2566.09</v>
      </c>
      <c r="G51" s="5">
        <v>0.19014</v>
      </c>
      <c r="H51" s="5">
        <v>0.686916058</v>
      </c>
      <c r="I51" s="4">
        <v>189.54114999999999</v>
      </c>
      <c r="J51" s="4">
        <f t="shared" si="0"/>
        <v>130.19885958678668</v>
      </c>
      <c r="K51" s="3">
        <v>0.23907689124618367</v>
      </c>
      <c r="L51">
        <v>4</v>
      </c>
      <c r="M51">
        <v>400</v>
      </c>
    </row>
    <row r="52" spans="1:13" x14ac:dyDescent="0.3">
      <c r="A52" s="1" t="s">
        <v>111</v>
      </c>
      <c r="B52" s="1" t="s">
        <v>106</v>
      </c>
      <c r="C52" s="2">
        <v>1</v>
      </c>
      <c r="D52" s="3">
        <v>1.3897999999999999</v>
      </c>
      <c r="E52" s="3">
        <v>1.410995</v>
      </c>
      <c r="F52" s="4">
        <v>1091.4000000000001</v>
      </c>
      <c r="G52" s="5">
        <v>0.26826</v>
      </c>
      <c r="H52" s="5">
        <v>1.02678</v>
      </c>
      <c r="I52" s="4">
        <v>82.449960000000004</v>
      </c>
      <c r="J52" s="4">
        <v>84.657969929999993</v>
      </c>
      <c r="K52" s="3">
        <v>0.425094631</v>
      </c>
      <c r="L52">
        <v>4</v>
      </c>
      <c r="M52">
        <v>400</v>
      </c>
    </row>
    <row r="53" spans="1:13" x14ac:dyDescent="0.3">
      <c r="A53" s="1" t="s">
        <v>111</v>
      </c>
      <c r="B53" s="1" t="s">
        <v>106</v>
      </c>
      <c r="C53" s="2">
        <v>1</v>
      </c>
      <c r="D53" s="3">
        <v>1.3897999999999999</v>
      </c>
      <c r="E53" s="3">
        <v>1.410995</v>
      </c>
      <c r="F53" s="4">
        <v>1091.4000000000001</v>
      </c>
      <c r="G53" s="5">
        <v>0.26826</v>
      </c>
      <c r="H53" s="5">
        <v>1.02678</v>
      </c>
      <c r="I53" s="4">
        <v>101.75700000000001</v>
      </c>
      <c r="J53" s="4">
        <v>104.48205249999999</v>
      </c>
      <c r="K53" s="3">
        <v>0.425094631</v>
      </c>
      <c r="L53" s="4">
        <v>1</v>
      </c>
      <c r="M53">
        <v>400</v>
      </c>
    </row>
    <row r="54" spans="1:13" x14ac:dyDescent="0.3">
      <c r="A54" s="1" t="s">
        <v>6</v>
      </c>
      <c r="B54" s="1" t="s">
        <v>7</v>
      </c>
      <c r="C54" s="2">
        <v>3</v>
      </c>
      <c r="D54" s="3">
        <v>1.1912229999999999</v>
      </c>
      <c r="E54" s="3">
        <v>1.8418489999999998</v>
      </c>
      <c r="F54" s="4">
        <v>6078.54</v>
      </c>
      <c r="G54" s="5">
        <v>0.60562000000000005</v>
      </c>
      <c r="H54" s="5">
        <v>0.27480300000000002</v>
      </c>
      <c r="I54" s="4">
        <v>232.67992000000001</v>
      </c>
      <c r="J54" s="4">
        <f t="shared" ref="J54:J85" si="1">I54*H54</f>
        <v>63.941140055760009</v>
      </c>
      <c r="K54" s="3">
        <v>2.7421177499522433</v>
      </c>
      <c r="L54" s="4">
        <v>1</v>
      </c>
      <c r="M54">
        <v>400</v>
      </c>
    </row>
    <row r="55" spans="1:13" x14ac:dyDescent="0.3">
      <c r="A55" s="1" t="s">
        <v>8</v>
      </c>
      <c r="B55" s="1" t="s">
        <v>9</v>
      </c>
      <c r="C55" s="2">
        <v>3</v>
      </c>
      <c r="D55" s="3">
        <v>1.4673500000000002</v>
      </c>
      <c r="E55" s="3">
        <v>1.892115</v>
      </c>
      <c r="F55" s="4">
        <v>5650.93</v>
      </c>
      <c r="G55" s="5">
        <v>0.61577999999999999</v>
      </c>
      <c r="H55" s="5">
        <v>0.27741510800000002</v>
      </c>
      <c r="I55" s="4">
        <v>240.00644</v>
      </c>
      <c r="J55" s="4">
        <f t="shared" si="1"/>
        <v>66.581412473295529</v>
      </c>
      <c r="K55" s="3">
        <v>2.9875150377740889</v>
      </c>
      <c r="L55" s="4">
        <v>1</v>
      </c>
      <c r="M55">
        <v>400</v>
      </c>
    </row>
    <row r="56" spans="1:13" x14ac:dyDescent="0.3">
      <c r="A56" s="1" t="s">
        <v>10</v>
      </c>
      <c r="B56" s="1" t="s">
        <v>11</v>
      </c>
      <c r="C56" s="2">
        <v>3</v>
      </c>
      <c r="D56" s="3">
        <v>1.105035</v>
      </c>
      <c r="E56" s="3">
        <v>1.884844</v>
      </c>
      <c r="F56" s="4">
        <v>5998.68</v>
      </c>
      <c r="G56" s="5">
        <v>0.58728000000000002</v>
      </c>
      <c r="H56" s="5">
        <v>0.30772462</v>
      </c>
      <c r="I56" s="4">
        <v>231.0027</v>
      </c>
      <c r="J56" s="4">
        <f t="shared" si="1"/>
        <v>71.085218076474007</v>
      </c>
      <c r="K56" s="3">
        <v>1.976300406623593</v>
      </c>
      <c r="L56" s="4">
        <v>1</v>
      </c>
      <c r="M56">
        <v>400</v>
      </c>
    </row>
    <row r="57" spans="1:13" x14ac:dyDescent="0.3">
      <c r="A57" s="1" t="s">
        <v>12</v>
      </c>
      <c r="B57" s="1" t="s">
        <v>13</v>
      </c>
      <c r="C57" s="2">
        <v>3</v>
      </c>
      <c r="D57" s="3">
        <v>1.2591860000000001</v>
      </c>
      <c r="E57" s="3">
        <v>2.2192029999999998</v>
      </c>
      <c r="F57" s="4">
        <v>5877.55</v>
      </c>
      <c r="G57" s="5">
        <v>0.64322000000000001</v>
      </c>
      <c r="H57" s="5">
        <v>0.25931727100000002</v>
      </c>
      <c r="I57" s="4">
        <v>234.08632</v>
      </c>
      <c r="J57" s="4">
        <f t="shared" si="1"/>
        <v>60.702625680832725</v>
      </c>
      <c r="K57" s="3">
        <v>2.849101687810196</v>
      </c>
      <c r="L57" s="4">
        <v>1</v>
      </c>
      <c r="M57">
        <v>400</v>
      </c>
    </row>
    <row r="58" spans="1:13" x14ac:dyDescent="0.3">
      <c r="A58" s="1" t="s">
        <v>14</v>
      </c>
      <c r="B58" s="1" t="s">
        <v>15</v>
      </c>
      <c r="C58" s="2">
        <v>3</v>
      </c>
      <c r="D58" s="3">
        <v>1.1240780000000001</v>
      </c>
      <c r="E58" s="3">
        <v>2.0102760000000002</v>
      </c>
      <c r="F58" s="4">
        <v>5762.85</v>
      </c>
      <c r="G58" s="5">
        <v>0.59140000000000004</v>
      </c>
      <c r="H58" s="5">
        <v>0.29679821899999997</v>
      </c>
      <c r="I58" s="4">
        <v>233.33401000000001</v>
      </c>
      <c r="J58" s="4">
        <f t="shared" si="1"/>
        <v>69.25311860012819</v>
      </c>
      <c r="K58" s="3">
        <v>2.4185714948717671</v>
      </c>
      <c r="L58" s="4">
        <v>1</v>
      </c>
      <c r="M58">
        <v>400</v>
      </c>
    </row>
    <row r="59" spans="1:13" x14ac:dyDescent="0.3">
      <c r="A59" s="1" t="s">
        <v>16</v>
      </c>
      <c r="B59" s="1" t="s">
        <v>17</v>
      </c>
      <c r="C59" s="2">
        <v>3</v>
      </c>
      <c r="D59" s="3">
        <v>1.5306609999999998</v>
      </c>
      <c r="E59" s="3">
        <v>2.0591020000000002</v>
      </c>
      <c r="F59" s="4">
        <v>5710.2</v>
      </c>
      <c r="G59" s="5">
        <v>0.67083999999999999</v>
      </c>
      <c r="H59" s="5">
        <v>0.24407959700000001</v>
      </c>
      <c r="I59" s="4">
        <v>231.25171</v>
      </c>
      <c r="J59" s="4">
        <f t="shared" si="1"/>
        <v>56.443824182360871</v>
      </c>
      <c r="K59" s="3">
        <v>3.1614505997794407</v>
      </c>
      <c r="L59" s="4">
        <v>1</v>
      </c>
      <c r="M59">
        <v>400</v>
      </c>
    </row>
    <row r="60" spans="1:13" x14ac:dyDescent="0.3">
      <c r="A60" s="1" t="s">
        <v>18</v>
      </c>
      <c r="B60" s="1" t="s">
        <v>19</v>
      </c>
      <c r="C60" s="2">
        <v>3</v>
      </c>
      <c r="D60" s="3">
        <v>1.3012570000000001</v>
      </c>
      <c r="E60" s="3">
        <v>1.936194</v>
      </c>
      <c r="F60" s="4">
        <v>5617.23</v>
      </c>
      <c r="G60" s="5">
        <v>0.60785999999999996</v>
      </c>
      <c r="H60" s="5">
        <v>0.27544245699999997</v>
      </c>
      <c r="I60" s="4">
        <v>237.39150000000001</v>
      </c>
      <c r="J60" s="4">
        <f t="shared" si="1"/>
        <v>65.387698030915502</v>
      </c>
      <c r="K60" s="3">
        <v>2.6634952707698534</v>
      </c>
      <c r="L60" s="4">
        <v>1</v>
      </c>
      <c r="M60">
        <v>400</v>
      </c>
    </row>
    <row r="61" spans="1:13" x14ac:dyDescent="0.3">
      <c r="A61" s="1" t="s">
        <v>20</v>
      </c>
      <c r="B61" s="1" t="s">
        <v>21</v>
      </c>
      <c r="C61" s="2">
        <v>3</v>
      </c>
      <c r="D61" s="3">
        <v>1.4346049999999999</v>
      </c>
      <c r="E61" s="3">
        <v>2.0246870000000001</v>
      </c>
      <c r="F61" s="4">
        <v>5950.46</v>
      </c>
      <c r="G61" s="5">
        <v>0.65102000000000004</v>
      </c>
      <c r="H61" s="5">
        <v>0.23950939399999999</v>
      </c>
      <c r="I61" s="4">
        <v>234.13243</v>
      </c>
      <c r="J61" s="4">
        <f t="shared" si="1"/>
        <v>56.076916425047415</v>
      </c>
      <c r="K61" s="3">
        <v>3.4617045587647644</v>
      </c>
      <c r="L61" s="4">
        <v>1</v>
      </c>
      <c r="M61">
        <v>400</v>
      </c>
    </row>
    <row r="62" spans="1:13" x14ac:dyDescent="0.3">
      <c r="A62" s="1" t="s">
        <v>22</v>
      </c>
      <c r="B62" s="1" t="s">
        <v>23</v>
      </c>
      <c r="C62" s="2">
        <v>3</v>
      </c>
      <c r="D62" s="3">
        <v>1.6158829999999997</v>
      </c>
      <c r="E62" s="3">
        <v>2.5089999999999999</v>
      </c>
      <c r="F62" s="4">
        <v>5595.77</v>
      </c>
      <c r="G62" s="5">
        <v>0.73533999999999999</v>
      </c>
      <c r="H62" s="5">
        <v>0.209482319</v>
      </c>
      <c r="I62" s="4">
        <v>215.97210000000001</v>
      </c>
      <c r="J62" s="4">
        <f t="shared" si="1"/>
        <v>45.242336347299904</v>
      </c>
      <c r="K62" s="3">
        <v>5.3075659589663493</v>
      </c>
      <c r="L62" s="4">
        <v>1</v>
      </c>
      <c r="M62">
        <v>400</v>
      </c>
    </row>
    <row r="63" spans="1:13" x14ac:dyDescent="0.3">
      <c r="A63" s="1" t="s">
        <v>24</v>
      </c>
      <c r="B63" s="1" t="s">
        <v>25</v>
      </c>
      <c r="C63" s="2">
        <v>3</v>
      </c>
      <c r="D63" s="3">
        <v>1.521409</v>
      </c>
      <c r="E63" s="3">
        <v>2.091059</v>
      </c>
      <c r="F63" s="4">
        <v>5565.57</v>
      </c>
      <c r="G63" s="5">
        <v>0.63371999999999995</v>
      </c>
      <c r="H63" s="5">
        <v>0.28442831699999999</v>
      </c>
      <c r="I63" s="4">
        <v>226.06979999999999</v>
      </c>
      <c r="J63" s="4">
        <f t="shared" si="1"/>
        <v>64.300652738526594</v>
      </c>
      <c r="K63" s="3">
        <v>2.9920972156541694</v>
      </c>
      <c r="L63" s="4">
        <v>1</v>
      </c>
      <c r="M63">
        <v>400</v>
      </c>
    </row>
    <row r="64" spans="1:13" x14ac:dyDescent="0.3">
      <c r="A64" s="1" t="s">
        <v>26</v>
      </c>
      <c r="B64" s="1" t="s">
        <v>27</v>
      </c>
      <c r="C64" s="2">
        <v>3</v>
      </c>
      <c r="D64" s="3">
        <v>1.306883</v>
      </c>
      <c r="E64" s="3">
        <v>1.8178519999999998</v>
      </c>
      <c r="F64" s="4">
        <v>6229.84</v>
      </c>
      <c r="G64" s="5">
        <v>0.61224000000000001</v>
      </c>
      <c r="H64" s="5">
        <v>0.26224639199999999</v>
      </c>
      <c r="I64" s="4">
        <v>238.59461999999999</v>
      </c>
      <c r="J64" s="4">
        <f t="shared" si="1"/>
        <v>62.570578245611038</v>
      </c>
      <c r="K64" s="3">
        <v>2.9129001641071048</v>
      </c>
      <c r="L64" s="4">
        <v>1</v>
      </c>
      <c r="M64">
        <v>400</v>
      </c>
    </row>
    <row r="65" spans="1:13" x14ac:dyDescent="0.3">
      <c r="A65" s="1" t="s">
        <v>28</v>
      </c>
      <c r="B65" s="1" t="s">
        <v>29</v>
      </c>
      <c r="C65" s="2">
        <v>3</v>
      </c>
      <c r="D65" s="3">
        <v>2.4670390000000002</v>
      </c>
      <c r="E65" s="3">
        <v>2.5468549999999999</v>
      </c>
      <c r="F65" s="4">
        <v>5862.57</v>
      </c>
      <c r="G65" s="5">
        <v>0.83038000000000001</v>
      </c>
      <c r="H65" s="5">
        <v>0.134142385</v>
      </c>
      <c r="I65" s="4">
        <v>220.42525000000001</v>
      </c>
      <c r="J65" s="4">
        <f t="shared" si="1"/>
        <v>29.56836874922125</v>
      </c>
      <c r="K65" s="3">
        <v>5.8974056292678592</v>
      </c>
      <c r="L65" s="4">
        <v>1</v>
      </c>
      <c r="M65">
        <v>400</v>
      </c>
    </row>
    <row r="66" spans="1:13" x14ac:dyDescent="0.3">
      <c r="A66" s="1" t="s">
        <v>30</v>
      </c>
      <c r="B66" s="1" t="s">
        <v>31</v>
      </c>
      <c r="C66" s="2">
        <v>3</v>
      </c>
      <c r="D66" s="3">
        <v>1.978386</v>
      </c>
      <c r="E66" s="3">
        <v>2.2530100000000002</v>
      </c>
      <c r="F66" s="4">
        <v>5783.33</v>
      </c>
      <c r="G66" s="5">
        <v>0.78480000000000005</v>
      </c>
      <c r="H66" s="5">
        <v>0.168001387</v>
      </c>
      <c r="I66" s="4">
        <v>215.49996999999999</v>
      </c>
      <c r="J66" s="4">
        <f t="shared" si="1"/>
        <v>36.204293858458392</v>
      </c>
      <c r="K66" s="3">
        <v>5.7057200595526654</v>
      </c>
      <c r="L66" s="4">
        <v>1</v>
      </c>
      <c r="M66">
        <v>400</v>
      </c>
    </row>
    <row r="67" spans="1:13" x14ac:dyDescent="0.3">
      <c r="A67" s="1" t="s">
        <v>32</v>
      </c>
      <c r="B67" s="1" t="s">
        <v>33</v>
      </c>
      <c r="C67" s="2">
        <v>3</v>
      </c>
      <c r="D67" s="3">
        <v>2.0805530000000001</v>
      </c>
      <c r="E67" s="3">
        <v>2.3383980000000002</v>
      </c>
      <c r="F67" s="4">
        <v>5862.3</v>
      </c>
      <c r="G67" s="5">
        <v>0.78966000000000003</v>
      </c>
      <c r="H67" s="5">
        <v>0.16244043</v>
      </c>
      <c r="I67" s="4">
        <v>217.23079000000001</v>
      </c>
      <c r="J67" s="4">
        <f t="shared" si="1"/>
        <v>35.287062936839703</v>
      </c>
      <c r="K67" s="3">
        <v>5.8974056292678592</v>
      </c>
      <c r="L67" s="4">
        <v>1</v>
      </c>
      <c r="M67">
        <v>400</v>
      </c>
    </row>
    <row r="68" spans="1:13" x14ac:dyDescent="0.3">
      <c r="A68" s="1" t="s">
        <v>34</v>
      </c>
      <c r="B68" s="1" t="s">
        <v>35</v>
      </c>
      <c r="C68" s="2">
        <v>3</v>
      </c>
      <c r="D68" s="3">
        <v>2.0405629999999997</v>
      </c>
      <c r="E68" s="3">
        <v>2.9325209999999999</v>
      </c>
      <c r="F68" s="4">
        <v>5769.83</v>
      </c>
      <c r="G68" s="5">
        <v>0.77473999999999998</v>
      </c>
      <c r="H68" s="5">
        <v>0.17307031</v>
      </c>
      <c r="I68" s="4">
        <v>220.34306000000001</v>
      </c>
      <c r="J68" s="4">
        <f t="shared" si="1"/>
        <v>38.134841700548606</v>
      </c>
      <c r="K68" s="3">
        <v>5.7535964797399144</v>
      </c>
      <c r="L68" s="4">
        <v>1</v>
      </c>
      <c r="M68">
        <v>400</v>
      </c>
    </row>
    <row r="69" spans="1:13" x14ac:dyDescent="0.3">
      <c r="A69" s="1" t="s">
        <v>36</v>
      </c>
      <c r="B69" s="1" t="s">
        <v>37</v>
      </c>
      <c r="C69" s="2">
        <v>3</v>
      </c>
      <c r="D69" s="3">
        <v>1.2375159999999998</v>
      </c>
      <c r="E69" s="3">
        <v>1.6552520000000002</v>
      </c>
      <c r="F69" s="4">
        <v>5424.27</v>
      </c>
      <c r="G69" s="5">
        <v>0.57255999999999996</v>
      </c>
      <c r="H69" s="5">
        <v>0.30621789100000002</v>
      </c>
      <c r="I69" s="4">
        <v>227.92903000000001</v>
      </c>
      <c r="J69" s="4">
        <f t="shared" si="1"/>
        <v>69.795946864275734</v>
      </c>
      <c r="K69" s="3">
        <v>2.5961246452824991</v>
      </c>
      <c r="L69" s="4">
        <v>1</v>
      </c>
      <c r="M69">
        <v>400</v>
      </c>
    </row>
    <row r="70" spans="1:13" x14ac:dyDescent="0.3">
      <c r="A70" s="1" t="s">
        <v>38</v>
      </c>
      <c r="B70" s="1" t="s">
        <v>39</v>
      </c>
      <c r="C70" s="2">
        <v>3</v>
      </c>
      <c r="D70" s="3">
        <v>1.527355</v>
      </c>
      <c r="E70" s="3">
        <v>1.815725</v>
      </c>
      <c r="F70" s="4">
        <v>5620.77</v>
      </c>
      <c r="G70" s="5">
        <v>0.71609999999999996</v>
      </c>
      <c r="H70" s="5">
        <v>0.23235930599999999</v>
      </c>
      <c r="I70" s="4">
        <v>213.72826000000001</v>
      </c>
      <c r="J70" s="4">
        <f t="shared" si="1"/>
        <v>49.661750166187559</v>
      </c>
      <c r="K70" s="3">
        <v>4.5117376685794026</v>
      </c>
      <c r="L70" s="4">
        <v>1</v>
      </c>
      <c r="M70">
        <v>400</v>
      </c>
    </row>
    <row r="71" spans="1:13" x14ac:dyDescent="0.3">
      <c r="A71" s="1" t="s">
        <v>40</v>
      </c>
      <c r="B71" s="1" t="s">
        <v>41</v>
      </c>
      <c r="C71" s="2">
        <v>3</v>
      </c>
      <c r="D71" s="3">
        <v>1.1338459999999999</v>
      </c>
      <c r="E71" s="3">
        <v>1.6506070000000002</v>
      </c>
      <c r="F71" s="4">
        <v>5654.34</v>
      </c>
      <c r="G71" s="5">
        <v>0.55801999999999996</v>
      </c>
      <c r="H71" s="5">
        <v>0.32083039200000002</v>
      </c>
      <c r="I71" s="4">
        <v>236.70502999999999</v>
      </c>
      <c r="J71" s="4">
        <f t="shared" si="1"/>
        <v>75.942167563271767</v>
      </c>
      <c r="K71" s="3">
        <v>1.967296412555112</v>
      </c>
      <c r="L71" s="4">
        <v>1</v>
      </c>
      <c r="M71">
        <v>400</v>
      </c>
    </row>
    <row r="72" spans="1:13" x14ac:dyDescent="0.3">
      <c r="A72" s="1" t="s">
        <v>42</v>
      </c>
      <c r="B72" s="1" t="s">
        <v>43</v>
      </c>
      <c r="C72" s="2">
        <v>3</v>
      </c>
      <c r="D72" s="3">
        <v>1.4772500000000002</v>
      </c>
      <c r="E72" s="3">
        <v>2.4347699999999999</v>
      </c>
      <c r="F72" s="4">
        <v>5952.75</v>
      </c>
      <c r="G72" s="5">
        <v>0.68686000000000003</v>
      </c>
      <c r="H72" s="5">
        <v>0.226233766</v>
      </c>
      <c r="I72" s="4">
        <v>233.29861</v>
      </c>
      <c r="J72" s="4">
        <f t="shared" si="1"/>
        <v>52.780023142865261</v>
      </c>
      <c r="K72" s="3">
        <v>3.9488057462755841</v>
      </c>
      <c r="L72" s="4">
        <v>1</v>
      </c>
      <c r="M72">
        <v>400</v>
      </c>
    </row>
    <row r="73" spans="1:13" x14ac:dyDescent="0.3">
      <c r="A73" s="1" t="s">
        <v>44</v>
      </c>
      <c r="B73" s="1" t="s">
        <v>45</v>
      </c>
      <c r="C73" s="2">
        <v>3</v>
      </c>
      <c r="D73" s="3">
        <v>2.490202</v>
      </c>
      <c r="E73" s="3">
        <v>2.6097489999999999</v>
      </c>
      <c r="F73" s="4">
        <v>6233.87</v>
      </c>
      <c r="G73" s="5">
        <v>0.82267999999999997</v>
      </c>
      <c r="H73" s="5">
        <v>0.126810806</v>
      </c>
      <c r="I73" s="4">
        <v>222.39823999999999</v>
      </c>
      <c r="J73" s="4">
        <f t="shared" si="1"/>
        <v>28.20250006738144</v>
      </c>
      <c r="K73" s="3">
        <v>5.8974056292678592</v>
      </c>
      <c r="L73" s="4">
        <v>1</v>
      </c>
      <c r="M73">
        <v>400</v>
      </c>
    </row>
    <row r="74" spans="1:13" x14ac:dyDescent="0.3">
      <c r="A74" s="1" t="s">
        <v>46</v>
      </c>
      <c r="B74" s="1" t="s">
        <v>47</v>
      </c>
      <c r="C74" s="2">
        <v>3</v>
      </c>
      <c r="D74" s="3">
        <v>1.2404899999999999</v>
      </c>
      <c r="E74" s="3">
        <v>1.7218620000000002</v>
      </c>
      <c r="F74" s="4">
        <v>5802.96</v>
      </c>
      <c r="G74" s="5">
        <v>0.61109999999999998</v>
      </c>
      <c r="H74" s="5">
        <v>0.27118547100000001</v>
      </c>
      <c r="I74" s="4">
        <v>229.86034000000001</v>
      </c>
      <c r="J74" s="4">
        <f t="shared" si="1"/>
        <v>62.334784567120145</v>
      </c>
      <c r="K74" s="3">
        <v>2.6019435489834666</v>
      </c>
      <c r="L74" s="4">
        <v>1</v>
      </c>
      <c r="M74">
        <v>400</v>
      </c>
    </row>
    <row r="75" spans="1:13" x14ac:dyDescent="0.3">
      <c r="A75" s="1" t="s">
        <v>48</v>
      </c>
      <c r="B75" s="1" t="s">
        <v>49</v>
      </c>
      <c r="C75" s="2">
        <v>3</v>
      </c>
      <c r="D75" s="3">
        <v>0.95303099999999996</v>
      </c>
      <c r="E75" s="3">
        <v>1.662415</v>
      </c>
      <c r="F75" s="4">
        <v>5542.08</v>
      </c>
      <c r="G75" s="5">
        <v>0.62090000000000001</v>
      </c>
      <c r="H75" s="5">
        <v>0.28688206199999999</v>
      </c>
      <c r="I75" s="4">
        <v>215.77218999999999</v>
      </c>
      <c r="J75" s="4">
        <f t="shared" si="1"/>
        <v>61.901170789455776</v>
      </c>
      <c r="K75" s="3">
        <v>1.8799792247743385</v>
      </c>
      <c r="L75" s="4">
        <v>1</v>
      </c>
      <c r="M75">
        <v>400</v>
      </c>
    </row>
    <row r="76" spans="1:13" x14ac:dyDescent="0.3">
      <c r="A76" s="1" t="s">
        <v>50</v>
      </c>
      <c r="B76" s="1" t="s">
        <v>51</v>
      </c>
      <c r="C76" s="2">
        <v>3</v>
      </c>
      <c r="D76" s="3">
        <v>2.1004259999999997</v>
      </c>
      <c r="E76" s="3">
        <v>2.1956730000000002</v>
      </c>
      <c r="F76" s="4">
        <v>6214.81</v>
      </c>
      <c r="G76" s="5">
        <v>0.79271999999999998</v>
      </c>
      <c r="H76" s="5">
        <v>0.15709504899999999</v>
      </c>
      <c r="I76" s="4">
        <v>218.80219</v>
      </c>
      <c r="J76" s="4">
        <f t="shared" si="1"/>
        <v>34.372740759357306</v>
      </c>
      <c r="K76" s="3">
        <v>5.8974056292678592</v>
      </c>
      <c r="L76" s="4">
        <v>1</v>
      </c>
      <c r="M76">
        <v>400</v>
      </c>
    </row>
    <row r="77" spans="1:13" x14ac:dyDescent="0.3">
      <c r="A77" s="1" t="s">
        <v>52</v>
      </c>
      <c r="B77" s="1" t="s">
        <v>53</v>
      </c>
      <c r="C77" s="2">
        <v>3</v>
      </c>
      <c r="D77" s="3">
        <v>1.376925</v>
      </c>
      <c r="E77" s="3">
        <v>2.2990550000000001</v>
      </c>
      <c r="F77" s="4">
        <v>5583.37</v>
      </c>
      <c r="G77" s="5">
        <v>0.66752</v>
      </c>
      <c r="H77" s="5">
        <v>0.25212499199999999</v>
      </c>
      <c r="I77" s="4">
        <v>227.81036</v>
      </c>
      <c r="J77" s="4">
        <f t="shared" si="1"/>
        <v>57.436685192517118</v>
      </c>
      <c r="K77" s="3">
        <v>3.1960384834015487</v>
      </c>
      <c r="L77" s="4">
        <v>1</v>
      </c>
      <c r="M77">
        <v>400</v>
      </c>
    </row>
    <row r="78" spans="1:13" x14ac:dyDescent="0.3">
      <c r="A78" s="1" t="s">
        <v>54</v>
      </c>
      <c r="B78" s="1" t="s">
        <v>55</v>
      </c>
      <c r="C78" s="2">
        <v>3</v>
      </c>
      <c r="D78" s="3">
        <v>1.457759</v>
      </c>
      <c r="E78" s="3">
        <v>1.729833</v>
      </c>
      <c r="F78" s="4">
        <v>5686.18</v>
      </c>
      <c r="G78" s="5">
        <v>0.53935999999999995</v>
      </c>
      <c r="H78" s="5">
        <v>0.30771320499999999</v>
      </c>
      <c r="I78" s="4">
        <v>245.44385</v>
      </c>
      <c r="J78" s="4">
        <f t="shared" si="1"/>
        <v>75.526313731039252</v>
      </c>
      <c r="K78" s="3">
        <v>2.1967609506677683</v>
      </c>
      <c r="L78" s="4">
        <v>1</v>
      </c>
      <c r="M78">
        <v>400</v>
      </c>
    </row>
    <row r="79" spans="1:13" x14ac:dyDescent="0.3">
      <c r="A79" s="1" t="s">
        <v>56</v>
      </c>
      <c r="B79" s="1" t="s">
        <v>57</v>
      </c>
      <c r="C79" s="2">
        <v>3</v>
      </c>
      <c r="D79" s="3">
        <v>1.702234</v>
      </c>
      <c r="E79" s="3">
        <v>2.5385619999999998</v>
      </c>
      <c r="F79" s="4">
        <v>6029.58</v>
      </c>
      <c r="G79" s="5">
        <v>0.71486000000000005</v>
      </c>
      <c r="H79" s="5">
        <v>0.20870655299999999</v>
      </c>
      <c r="I79" s="4">
        <v>219.26274000000001</v>
      </c>
      <c r="J79" s="4">
        <f t="shared" si="1"/>
        <v>45.761570666735217</v>
      </c>
      <c r="K79" s="3">
        <v>5.5114592408067642</v>
      </c>
      <c r="L79" s="4">
        <v>1</v>
      </c>
      <c r="M79">
        <v>400</v>
      </c>
    </row>
    <row r="80" spans="1:13" x14ac:dyDescent="0.3">
      <c r="A80" s="1" t="s">
        <v>58</v>
      </c>
      <c r="B80" s="1" t="s">
        <v>59</v>
      </c>
      <c r="C80" s="2">
        <v>3</v>
      </c>
      <c r="D80" s="3">
        <v>1.6402239999999999</v>
      </c>
      <c r="E80" s="3">
        <v>2.4844689999999998</v>
      </c>
      <c r="F80" s="4">
        <v>6187.46</v>
      </c>
      <c r="G80" s="5">
        <v>0.71530000000000005</v>
      </c>
      <c r="H80" s="5">
        <v>0.206269379</v>
      </c>
      <c r="I80" s="4">
        <v>218.14806999999999</v>
      </c>
      <c r="J80" s="4">
        <f t="shared" si="1"/>
        <v>44.997266928948527</v>
      </c>
      <c r="K80" s="3">
        <v>5.5114592408067642</v>
      </c>
      <c r="L80" s="4">
        <v>1</v>
      </c>
      <c r="M80">
        <v>400</v>
      </c>
    </row>
    <row r="81" spans="1:13" x14ac:dyDescent="0.3">
      <c r="A81" s="1" t="s">
        <v>60</v>
      </c>
      <c r="B81" s="1" t="s">
        <v>61</v>
      </c>
      <c r="C81" s="2">
        <v>3</v>
      </c>
      <c r="D81" s="3">
        <v>1.8907589999999999</v>
      </c>
      <c r="E81" s="3">
        <v>2.4904859999999998</v>
      </c>
      <c r="F81" s="4">
        <v>5953</v>
      </c>
      <c r="G81" s="5">
        <v>0.73829999999999996</v>
      </c>
      <c r="H81" s="5">
        <v>0.19403271799999999</v>
      </c>
      <c r="I81" s="4">
        <v>219.26274000000001</v>
      </c>
      <c r="J81" s="4">
        <f t="shared" si="1"/>
        <v>42.544145398327323</v>
      </c>
      <c r="K81" s="3">
        <v>5.8252960267303653</v>
      </c>
      <c r="L81" s="4">
        <v>1</v>
      </c>
      <c r="M81">
        <v>400</v>
      </c>
    </row>
    <row r="82" spans="1:13" x14ac:dyDescent="0.3">
      <c r="A82" s="1" t="s">
        <v>62</v>
      </c>
      <c r="B82" s="1" t="s">
        <v>63</v>
      </c>
      <c r="C82" s="2">
        <v>3</v>
      </c>
      <c r="D82" s="3">
        <v>1.956934</v>
      </c>
      <c r="E82" s="3">
        <v>2.1722700000000001</v>
      </c>
      <c r="F82" s="4">
        <v>6113.92</v>
      </c>
      <c r="G82" s="5">
        <v>0.76678000000000002</v>
      </c>
      <c r="H82" s="5">
        <v>0.17010107899999999</v>
      </c>
      <c r="I82" s="4">
        <v>216.82919999999999</v>
      </c>
      <c r="J82" s="4">
        <f t="shared" si="1"/>
        <v>36.882880878706793</v>
      </c>
      <c r="K82" s="3">
        <v>5.8252960267303653</v>
      </c>
      <c r="L82" s="4">
        <v>1</v>
      </c>
      <c r="M82">
        <v>400</v>
      </c>
    </row>
    <row r="83" spans="1:13" x14ac:dyDescent="0.3">
      <c r="A83" s="1" t="s">
        <v>64</v>
      </c>
      <c r="B83" s="1" t="s">
        <v>65</v>
      </c>
      <c r="C83" s="2">
        <v>3</v>
      </c>
      <c r="D83" s="3">
        <v>1.9485399999999999</v>
      </c>
      <c r="E83" s="3">
        <v>2.2350400000000001</v>
      </c>
      <c r="F83" s="4">
        <v>6075.34</v>
      </c>
      <c r="G83" s="5">
        <v>0.76917999999999997</v>
      </c>
      <c r="H83" s="5">
        <v>0.17117674299999999</v>
      </c>
      <c r="I83" s="4">
        <v>215.49996999999999</v>
      </c>
      <c r="J83" s="4">
        <f t="shared" si="1"/>
        <v>36.888582981197708</v>
      </c>
      <c r="K83" s="3">
        <v>5.8252960267303653</v>
      </c>
      <c r="L83" s="4">
        <v>1</v>
      </c>
      <c r="M83">
        <v>400</v>
      </c>
    </row>
    <row r="84" spans="1:13" x14ac:dyDescent="0.3">
      <c r="A84" s="1" t="s">
        <v>66</v>
      </c>
      <c r="B84" s="1" t="s">
        <v>67</v>
      </c>
      <c r="C84" s="2">
        <v>3</v>
      </c>
      <c r="D84" s="3">
        <v>1.269385</v>
      </c>
      <c r="E84" s="3">
        <v>1.6157869999999999</v>
      </c>
      <c r="F84" s="4">
        <v>5488.97</v>
      </c>
      <c r="G84" s="5">
        <v>0.61758000000000002</v>
      </c>
      <c r="H84" s="5">
        <v>0.30749142600000001</v>
      </c>
      <c r="I84" s="4">
        <v>228.35310000000001</v>
      </c>
      <c r="J84" s="4">
        <f t="shared" si="1"/>
        <v>70.2166203505206</v>
      </c>
      <c r="K84" s="3">
        <v>1.9477052729094326</v>
      </c>
      <c r="L84" s="4">
        <v>1</v>
      </c>
      <c r="M84">
        <v>400</v>
      </c>
    </row>
    <row r="85" spans="1:13" x14ac:dyDescent="0.3">
      <c r="A85" s="1" t="s">
        <v>68</v>
      </c>
      <c r="B85" s="1" t="s">
        <v>69</v>
      </c>
      <c r="C85" s="2">
        <v>3</v>
      </c>
      <c r="D85" s="3">
        <v>1.4685570000000001</v>
      </c>
      <c r="E85" s="3">
        <v>1.725088</v>
      </c>
      <c r="F85" s="4">
        <v>5549.35</v>
      </c>
      <c r="G85" s="5">
        <v>0.65986</v>
      </c>
      <c r="H85" s="5">
        <v>0.26817676899999998</v>
      </c>
      <c r="I85" s="4">
        <v>227.33899</v>
      </c>
      <c r="J85" s="4">
        <f t="shared" si="1"/>
        <v>60.967035805923302</v>
      </c>
      <c r="K85" s="3">
        <v>3.0305335758310195</v>
      </c>
      <c r="L85" s="4">
        <v>1</v>
      </c>
      <c r="M85">
        <v>400</v>
      </c>
    </row>
    <row r="86" spans="1:13" x14ac:dyDescent="0.3">
      <c r="A86" s="1" t="s">
        <v>70</v>
      </c>
      <c r="B86" s="1" t="s">
        <v>71</v>
      </c>
      <c r="C86" s="2">
        <v>3</v>
      </c>
      <c r="D86" s="3">
        <v>1.4130420000000001</v>
      </c>
      <c r="E86" s="3">
        <v>1.6903759999999999</v>
      </c>
      <c r="F86" s="4">
        <v>5593.13</v>
      </c>
      <c r="G86" s="5">
        <v>0.57199999999999995</v>
      </c>
      <c r="H86" s="5">
        <v>0.30302336699999999</v>
      </c>
      <c r="I86" s="4">
        <v>235.61859999999999</v>
      </c>
      <c r="J86" s="4">
        <f t="shared" ref="J86:J103" si="2">I86*H86</f>
        <v>71.397941499826189</v>
      </c>
      <c r="K86" s="3">
        <v>3.080773713207372</v>
      </c>
      <c r="L86" s="4">
        <v>1</v>
      </c>
      <c r="M86">
        <v>400</v>
      </c>
    </row>
    <row r="87" spans="1:13" x14ac:dyDescent="0.3">
      <c r="A87" s="1" t="s">
        <v>72</v>
      </c>
      <c r="B87" s="1" t="s">
        <v>73</v>
      </c>
      <c r="C87" s="2">
        <v>3</v>
      </c>
      <c r="D87" s="3">
        <v>1.206499</v>
      </c>
      <c r="E87" s="3">
        <v>1.4782899999999999</v>
      </c>
      <c r="F87" s="4">
        <v>5525.69</v>
      </c>
      <c r="G87" s="5">
        <v>0.59008000000000005</v>
      </c>
      <c r="H87" s="5">
        <v>0.31488137300000002</v>
      </c>
      <c r="I87" s="4">
        <v>228.99611999999999</v>
      </c>
      <c r="J87" s="4">
        <f t="shared" si="2"/>
        <v>72.106612677272764</v>
      </c>
      <c r="K87" s="3">
        <v>1.9464124775826797</v>
      </c>
      <c r="L87" s="4">
        <v>1</v>
      </c>
      <c r="M87">
        <v>400</v>
      </c>
    </row>
    <row r="88" spans="1:13" x14ac:dyDescent="0.3">
      <c r="A88" s="1" t="s">
        <v>74</v>
      </c>
      <c r="B88" s="1" t="s">
        <v>75</v>
      </c>
      <c r="C88" s="2">
        <v>3</v>
      </c>
      <c r="D88" s="3">
        <v>1.079086</v>
      </c>
      <c r="E88" s="3">
        <v>1.5737380000000001</v>
      </c>
      <c r="F88" s="4">
        <v>5421.72</v>
      </c>
      <c r="G88" s="5">
        <v>0.52168000000000003</v>
      </c>
      <c r="H88" s="5">
        <v>0.34353602700000002</v>
      </c>
      <c r="I88" s="4">
        <v>237.63731000000001</v>
      </c>
      <c r="J88" s="4">
        <f t="shared" si="2"/>
        <v>81.636977344367381</v>
      </c>
      <c r="K88" s="3">
        <v>1.7866976245345507</v>
      </c>
      <c r="L88" s="4">
        <v>1</v>
      </c>
      <c r="M88">
        <v>400</v>
      </c>
    </row>
    <row r="89" spans="1:13" x14ac:dyDescent="0.3">
      <c r="A89" s="1" t="s">
        <v>76</v>
      </c>
      <c r="B89" s="1" t="s">
        <v>77</v>
      </c>
      <c r="C89" s="2">
        <v>3</v>
      </c>
      <c r="D89" s="3">
        <v>2.0671460000000002</v>
      </c>
      <c r="E89" s="3">
        <v>2.8989780000000001</v>
      </c>
      <c r="F89" s="4">
        <v>6747.69</v>
      </c>
      <c r="G89" s="5">
        <v>0.78117999999999999</v>
      </c>
      <c r="H89" s="5">
        <v>0.14944713400000001</v>
      </c>
      <c r="I89" s="4">
        <v>223.9597</v>
      </c>
      <c r="J89" s="4">
        <f t="shared" si="2"/>
        <v>33.470135296499805</v>
      </c>
      <c r="K89" s="3">
        <v>5.8974056292678592</v>
      </c>
      <c r="L89" s="4">
        <v>1</v>
      </c>
      <c r="M89">
        <v>400</v>
      </c>
    </row>
    <row r="90" spans="1:13" x14ac:dyDescent="0.3">
      <c r="A90" s="1" t="s">
        <v>78</v>
      </c>
      <c r="B90" s="1" t="s">
        <v>79</v>
      </c>
      <c r="C90" s="2">
        <v>1</v>
      </c>
      <c r="D90" s="3">
        <v>0.84307700000000008</v>
      </c>
      <c r="E90" s="3">
        <v>0.92516999999999994</v>
      </c>
      <c r="F90" s="4">
        <v>2825.72</v>
      </c>
      <c r="G90" s="5">
        <v>0.25124000000000002</v>
      </c>
      <c r="H90" s="5">
        <v>0.70935923400000001</v>
      </c>
      <c r="I90" s="4">
        <v>218.34105</v>
      </c>
      <c r="J90" s="4">
        <f t="shared" si="2"/>
        <v>154.88223997875571</v>
      </c>
      <c r="K90" s="3">
        <v>0.27456292951346722</v>
      </c>
      <c r="L90" s="4">
        <v>1</v>
      </c>
      <c r="M90">
        <v>400</v>
      </c>
    </row>
    <row r="91" spans="1:13" x14ac:dyDescent="0.3">
      <c r="A91" s="1" t="s">
        <v>80</v>
      </c>
      <c r="B91" s="1" t="s">
        <v>81</v>
      </c>
      <c r="C91" s="2">
        <v>1</v>
      </c>
      <c r="D91" s="3">
        <v>0.92102299999999993</v>
      </c>
      <c r="E91" s="3">
        <v>1.0038259999999999</v>
      </c>
      <c r="F91" s="4">
        <v>2692.14</v>
      </c>
      <c r="G91" s="5">
        <v>0.24406</v>
      </c>
      <c r="H91" s="5">
        <v>0.67997083300000005</v>
      </c>
      <c r="I91" s="4">
        <v>224.94101000000001</v>
      </c>
      <c r="J91" s="4">
        <f t="shared" si="2"/>
        <v>152.95332594556135</v>
      </c>
      <c r="K91" s="3">
        <v>0.25119538718989642</v>
      </c>
      <c r="L91" s="4">
        <v>1</v>
      </c>
      <c r="M91">
        <v>400</v>
      </c>
    </row>
    <row r="92" spans="1:13" x14ac:dyDescent="0.3">
      <c r="A92" s="1" t="s">
        <v>82</v>
      </c>
      <c r="B92" s="1" t="s">
        <v>83</v>
      </c>
      <c r="C92" s="2">
        <v>1</v>
      </c>
      <c r="D92" s="3">
        <v>0.94833499999999993</v>
      </c>
      <c r="E92" s="3">
        <v>1.009253</v>
      </c>
      <c r="F92" s="4">
        <v>2604.79</v>
      </c>
      <c r="G92" s="5">
        <v>0.24296000000000001</v>
      </c>
      <c r="H92" s="5">
        <v>0.674769497</v>
      </c>
      <c r="I92" s="4">
        <v>226.74918</v>
      </c>
      <c r="J92" s="4">
        <f t="shared" si="2"/>
        <v>153.00343013376246</v>
      </c>
      <c r="K92" s="3">
        <v>0.31559469913443483</v>
      </c>
      <c r="L92" s="4">
        <v>1</v>
      </c>
      <c r="M92">
        <v>400</v>
      </c>
    </row>
    <row r="93" spans="1:13" x14ac:dyDescent="0.3">
      <c r="A93" s="1" t="s">
        <v>84</v>
      </c>
      <c r="B93" s="1" t="s">
        <v>85</v>
      </c>
      <c r="C93" s="2">
        <v>1</v>
      </c>
      <c r="D93" s="3">
        <v>0.962341</v>
      </c>
      <c r="E93" s="3">
        <v>1.0164059999999999</v>
      </c>
      <c r="F93" s="4">
        <v>2718.36</v>
      </c>
      <c r="G93" s="5">
        <v>0.25231999999999999</v>
      </c>
      <c r="H93" s="5">
        <v>0.67182967699999996</v>
      </c>
      <c r="I93" s="4">
        <v>221.70567</v>
      </c>
      <c r="J93" s="4">
        <f t="shared" si="2"/>
        <v>148.94844866516857</v>
      </c>
      <c r="K93" s="3">
        <v>0.31559469913443483</v>
      </c>
      <c r="L93" s="4">
        <v>1</v>
      </c>
      <c r="M93">
        <v>400</v>
      </c>
    </row>
    <row r="94" spans="1:13" x14ac:dyDescent="0.3">
      <c r="A94" s="1" t="s">
        <v>86</v>
      </c>
      <c r="B94" s="1" t="s">
        <v>87</v>
      </c>
      <c r="C94" s="2">
        <v>1</v>
      </c>
      <c r="D94" s="3">
        <v>0.86957299999999993</v>
      </c>
      <c r="E94" s="3">
        <v>0.93067200000000005</v>
      </c>
      <c r="F94" s="4">
        <v>2651.1</v>
      </c>
      <c r="G94" s="5">
        <v>0.23422000000000001</v>
      </c>
      <c r="H94" s="5">
        <v>0.66435492200000001</v>
      </c>
      <c r="I94" s="4">
        <v>223.32898</v>
      </c>
      <c r="J94" s="4">
        <f t="shared" si="2"/>
        <v>148.36970708823955</v>
      </c>
      <c r="K94" s="3">
        <v>0.37158838458493854</v>
      </c>
      <c r="L94" s="4">
        <v>1</v>
      </c>
      <c r="M94">
        <v>400</v>
      </c>
    </row>
    <row r="95" spans="1:13" x14ac:dyDescent="0.3">
      <c r="A95" s="1" t="s">
        <v>88</v>
      </c>
      <c r="B95" s="1" t="s">
        <v>89</v>
      </c>
      <c r="C95" s="2">
        <v>1</v>
      </c>
      <c r="D95" s="3">
        <v>0.914269</v>
      </c>
      <c r="E95" s="3">
        <v>0.998278</v>
      </c>
      <c r="F95" s="4">
        <v>2817.31</v>
      </c>
      <c r="G95" s="5">
        <v>0.25897999999999999</v>
      </c>
      <c r="H95" s="5">
        <v>0.66404317099999999</v>
      </c>
      <c r="I95" s="4">
        <v>222.57346999999999</v>
      </c>
      <c r="J95" s="4">
        <f t="shared" si="2"/>
        <v>147.79839279927336</v>
      </c>
      <c r="K95" s="3">
        <v>0.25112340999507254</v>
      </c>
      <c r="L95" s="4">
        <v>1</v>
      </c>
      <c r="M95">
        <v>400</v>
      </c>
    </row>
    <row r="96" spans="1:13" x14ac:dyDescent="0.3">
      <c r="A96" s="1" t="s">
        <v>90</v>
      </c>
      <c r="B96" s="1" t="s">
        <v>91</v>
      </c>
      <c r="C96" s="2">
        <v>1</v>
      </c>
      <c r="D96" s="3">
        <v>0.89215300000000008</v>
      </c>
      <c r="E96" s="3">
        <v>0.95136299999999996</v>
      </c>
      <c r="F96" s="4">
        <v>2613.06</v>
      </c>
      <c r="G96" s="5">
        <v>0.19788</v>
      </c>
      <c r="H96" s="5">
        <v>0.66104065899999997</v>
      </c>
      <c r="I96" s="4">
        <v>220.67492999999999</v>
      </c>
      <c r="J96" s="4">
        <f t="shared" si="2"/>
        <v>145.87510115197887</v>
      </c>
      <c r="K96" s="3">
        <v>0.21599097256162655</v>
      </c>
      <c r="L96" s="4">
        <v>1</v>
      </c>
      <c r="M96">
        <v>400</v>
      </c>
    </row>
    <row r="97" spans="1:13" x14ac:dyDescent="0.3">
      <c r="A97" s="1" t="s">
        <v>92</v>
      </c>
      <c r="B97" s="1" t="s">
        <v>93</v>
      </c>
      <c r="C97" s="2">
        <v>1</v>
      </c>
      <c r="D97" s="3">
        <v>0.86104599999999998</v>
      </c>
      <c r="E97" s="3">
        <v>1.1034760000000001</v>
      </c>
      <c r="F97" s="4">
        <v>2656.71</v>
      </c>
      <c r="G97" s="5">
        <v>0.24822</v>
      </c>
      <c r="H97" s="5">
        <v>0.67640004300000001</v>
      </c>
      <c r="I97" s="4">
        <v>215.8432</v>
      </c>
      <c r="J97" s="4">
        <f t="shared" si="2"/>
        <v>145.99634976125759</v>
      </c>
      <c r="K97" s="3">
        <v>0.33137695276922835</v>
      </c>
      <c r="L97" s="4">
        <v>1</v>
      </c>
      <c r="M97">
        <v>400</v>
      </c>
    </row>
    <row r="98" spans="1:13" x14ac:dyDescent="0.3">
      <c r="A98" s="1" t="s">
        <v>94</v>
      </c>
      <c r="B98" s="1" t="s">
        <v>95</v>
      </c>
      <c r="C98" s="2">
        <v>1</v>
      </c>
      <c r="D98" s="3">
        <v>0.88936399999999993</v>
      </c>
      <c r="E98" s="3">
        <v>1.0014540000000001</v>
      </c>
      <c r="F98" s="4">
        <v>2506.36</v>
      </c>
      <c r="G98" s="5">
        <v>0.25568000000000002</v>
      </c>
      <c r="H98" s="5">
        <v>0.74363794800000005</v>
      </c>
      <c r="I98" s="4">
        <v>208.55402000000001</v>
      </c>
      <c r="J98" s="4">
        <f t="shared" si="2"/>
        <v>155.08868347995099</v>
      </c>
      <c r="K98" s="3">
        <v>0.21958630456607001</v>
      </c>
      <c r="L98" s="4">
        <v>1</v>
      </c>
      <c r="M98">
        <v>400</v>
      </c>
    </row>
    <row r="99" spans="1:13" x14ac:dyDescent="0.3">
      <c r="A99" s="1" t="s">
        <v>96</v>
      </c>
      <c r="B99" s="1" t="s">
        <v>97</v>
      </c>
      <c r="C99" s="2">
        <v>1</v>
      </c>
      <c r="D99" s="3">
        <v>0.79783000000000004</v>
      </c>
      <c r="E99" s="3">
        <v>0.85340500000000008</v>
      </c>
      <c r="F99" s="4">
        <v>2763.92</v>
      </c>
      <c r="G99" s="5">
        <v>0.22189999999999999</v>
      </c>
      <c r="H99" s="5">
        <v>0.69880300299999998</v>
      </c>
      <c r="I99" s="4">
        <v>228.20085</v>
      </c>
      <c r="J99" s="4">
        <f t="shared" si="2"/>
        <v>159.46743926715254</v>
      </c>
      <c r="K99" s="3">
        <v>0.26156447564950625</v>
      </c>
      <c r="L99" s="4">
        <v>1</v>
      </c>
      <c r="M99">
        <v>400</v>
      </c>
    </row>
    <row r="100" spans="1:13" x14ac:dyDescent="0.3">
      <c r="A100" s="1" t="s">
        <v>98</v>
      </c>
      <c r="B100" s="1" t="s">
        <v>99</v>
      </c>
      <c r="C100" s="2">
        <v>1</v>
      </c>
      <c r="D100" s="3">
        <v>0.79905400000000004</v>
      </c>
      <c r="E100" s="3">
        <v>0.85449800000000009</v>
      </c>
      <c r="F100" s="4">
        <v>2559.2800000000002</v>
      </c>
      <c r="G100" s="5">
        <v>0.20618</v>
      </c>
      <c r="H100" s="5">
        <v>0.73600408500000003</v>
      </c>
      <c r="I100" s="4">
        <v>211.95188999999999</v>
      </c>
      <c r="J100" s="4">
        <f t="shared" si="2"/>
        <v>155.99745686347066</v>
      </c>
      <c r="K100" s="3">
        <v>0.22096312329825857</v>
      </c>
      <c r="L100" s="4">
        <v>1</v>
      </c>
      <c r="M100">
        <v>400</v>
      </c>
    </row>
    <row r="101" spans="1:13" x14ac:dyDescent="0.3">
      <c r="A101" s="1" t="s">
        <v>100</v>
      </c>
      <c r="B101" s="1" t="s">
        <v>101</v>
      </c>
      <c r="C101" s="2">
        <v>1</v>
      </c>
      <c r="D101" s="3">
        <v>0.89162700000000006</v>
      </c>
      <c r="E101" s="3">
        <v>1.000974</v>
      </c>
      <c r="F101" s="4">
        <v>2890.78</v>
      </c>
      <c r="G101" s="5">
        <v>0.25519999999999998</v>
      </c>
      <c r="H101" s="5">
        <v>0.65515261800000002</v>
      </c>
      <c r="I101" s="4">
        <v>222.57346999999999</v>
      </c>
      <c r="J101" s="4">
        <f t="shared" si="2"/>
        <v>145.81959156784447</v>
      </c>
      <c r="K101" s="3">
        <v>0.2367234218781149</v>
      </c>
      <c r="L101" s="4">
        <v>1</v>
      </c>
      <c r="M101">
        <v>400</v>
      </c>
    </row>
    <row r="102" spans="1:13" x14ac:dyDescent="0.3">
      <c r="A102" s="1" t="s">
        <v>102</v>
      </c>
      <c r="B102" s="1" t="s">
        <v>103</v>
      </c>
      <c r="C102" s="2">
        <v>1</v>
      </c>
      <c r="D102" s="3">
        <v>0.8388540000000001</v>
      </c>
      <c r="E102" s="3">
        <v>0.89257600000000004</v>
      </c>
      <c r="F102" s="4">
        <v>2038.58</v>
      </c>
      <c r="G102" s="5">
        <v>0.25853999999999999</v>
      </c>
      <c r="H102" s="5">
        <v>0.88204352200000002</v>
      </c>
      <c r="I102" s="4">
        <v>184.11604</v>
      </c>
      <c r="J102" s="4">
        <f t="shared" si="2"/>
        <v>162.39836037829289</v>
      </c>
      <c r="K102" s="3">
        <v>0.2447546209489854</v>
      </c>
      <c r="L102" s="4">
        <v>1</v>
      </c>
      <c r="M102">
        <v>400</v>
      </c>
    </row>
    <row r="103" spans="1:13" x14ac:dyDescent="0.3">
      <c r="A103" s="1" t="s">
        <v>104</v>
      </c>
      <c r="B103" s="1" t="s">
        <v>105</v>
      </c>
      <c r="C103" s="2">
        <v>1</v>
      </c>
      <c r="D103" s="3">
        <v>0.81440099999999993</v>
      </c>
      <c r="E103" s="3">
        <v>0.90902799999999995</v>
      </c>
      <c r="F103" s="4">
        <v>2566.09</v>
      </c>
      <c r="G103" s="5">
        <v>0.19014</v>
      </c>
      <c r="H103" s="5">
        <v>0.686916058</v>
      </c>
      <c r="I103" s="4">
        <v>223.92466999999999</v>
      </c>
      <c r="J103" s="4">
        <f t="shared" si="2"/>
        <v>153.81745160535084</v>
      </c>
      <c r="K103" s="3">
        <v>0.23907689124618367</v>
      </c>
      <c r="L103" s="4">
        <v>1</v>
      </c>
      <c r="M10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Benyin Enninful</dc:creator>
  <cp:lastModifiedBy>Nana Benyin Enninful</cp:lastModifiedBy>
  <dcterms:created xsi:type="dcterms:W3CDTF">2025-12-26T11:05:04Z</dcterms:created>
  <dcterms:modified xsi:type="dcterms:W3CDTF">2026-01-06T21:11:40Z</dcterms:modified>
</cp:coreProperties>
</file>